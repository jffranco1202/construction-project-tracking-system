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of\Downloads\"/>
    </mc:Choice>
  </mc:AlternateContent>
  <xr:revisionPtr revIDLastSave="0" documentId="13_ncr:1_{4D59D654-BE64-4E4D-BE2C-38A01637D2B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dMYqd+SAvdl/uZtdewSb9h7aMvuZXJDI5H1Jgdp4sM="/>
    </ext>
  </extLst>
</workbook>
</file>

<file path=xl/calcChain.xml><?xml version="1.0" encoding="utf-8"?>
<calcChain xmlns="http://schemas.openxmlformats.org/spreadsheetml/2006/main">
  <c r="D85" i="1" l="1"/>
  <c r="AE68" i="1"/>
  <c r="G60" i="1"/>
  <c r="G57" i="1"/>
  <c r="AG50" i="1"/>
  <c r="AH50" i="1" s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AG34" i="1"/>
  <c r="AH34" i="1" s="1"/>
  <c r="AG32" i="1"/>
  <c r="AH32" i="1" s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AI17" i="1"/>
  <c r="G17" i="1"/>
  <c r="AG48" i="1" l="1"/>
  <c r="AH48" i="1" s="1"/>
  <c r="G61" i="1"/>
  <c r="H59" i="1" l="1"/>
  <c r="H41" i="1"/>
  <c r="H38" i="1"/>
  <c r="H28" i="1"/>
  <c r="H25" i="1"/>
  <c r="H22" i="1"/>
  <c r="H33" i="1"/>
  <c r="H54" i="1"/>
  <c r="H52" i="1"/>
  <c r="H35" i="1"/>
  <c r="H58" i="1"/>
  <c r="H49" i="1"/>
  <c r="H55" i="1"/>
  <c r="H53" i="1"/>
  <c r="H51" i="1"/>
  <c r="G67" i="1"/>
  <c r="H39" i="1"/>
  <c r="H40" i="1"/>
  <c r="H46" i="1"/>
  <c r="H14" i="1"/>
  <c r="H36" i="1"/>
  <c r="H11" i="1"/>
  <c r="H15" i="1"/>
  <c r="H13" i="1"/>
  <c r="H17" i="1"/>
  <c r="H47" i="1"/>
  <c r="H43" i="1"/>
  <c r="H21" i="1"/>
  <c r="H44" i="1"/>
  <c r="H29" i="1"/>
  <c r="H19" i="1"/>
  <c r="H60" i="1"/>
  <c r="H57" i="1"/>
  <c r="H18" i="1"/>
  <c r="H26" i="1"/>
  <c r="H23" i="1"/>
  <c r="H20" i="1"/>
  <c r="H27" i="1"/>
  <c r="H24" i="1"/>
  <c r="H31" i="1"/>
  <c r="H30" i="1"/>
  <c r="AB30" i="1" l="1"/>
  <c r="AG30" i="1" s="1"/>
  <c r="AH30" i="1" s="1"/>
  <c r="Z41" i="1"/>
  <c r="AA41" i="1"/>
  <c r="W43" i="1"/>
  <c r="V43" i="1"/>
  <c r="AC43" i="1"/>
  <c r="U43" i="1"/>
  <c r="AA43" i="1"/>
  <c r="Z43" i="1"/>
  <c r="Y43" i="1"/>
  <c r="X43" i="1"/>
  <c r="AB43" i="1"/>
  <c r="Y46" i="1"/>
  <c r="Q46" i="1"/>
  <c r="X46" i="1"/>
  <c r="P46" i="1"/>
  <c r="W46" i="1"/>
  <c r="O46" i="1"/>
  <c r="V46" i="1"/>
  <c r="U46" i="1"/>
  <c r="T46" i="1"/>
  <c r="S46" i="1"/>
  <c r="R46" i="1"/>
  <c r="Z46" i="1"/>
  <c r="W52" i="1"/>
  <c r="O52" i="1"/>
  <c r="AD52" i="1"/>
  <c r="V52" i="1"/>
  <c r="N52" i="1"/>
  <c r="AC52" i="1"/>
  <c r="U52" i="1"/>
  <c r="AB52" i="1"/>
  <c r="T52" i="1"/>
  <c r="AA52" i="1"/>
  <c r="S52" i="1"/>
  <c r="Z52" i="1"/>
  <c r="R52" i="1"/>
  <c r="Y52" i="1"/>
  <c r="Q52" i="1"/>
  <c r="X52" i="1"/>
  <c r="P52" i="1"/>
  <c r="M18" i="1"/>
  <c r="AG18" i="1" s="1"/>
  <c r="AH18" i="1" s="1"/>
  <c r="AB47" i="1"/>
  <c r="T47" i="1"/>
  <c r="Z47" i="1"/>
  <c r="AA47" i="1"/>
  <c r="S47" i="1"/>
  <c r="R47" i="1"/>
  <c r="W47" i="1"/>
  <c r="V47" i="1"/>
  <c r="U47" i="1"/>
  <c r="Q47" i="1"/>
  <c r="Y47" i="1"/>
  <c r="X47" i="1"/>
  <c r="U40" i="1"/>
  <c r="T40" i="1"/>
  <c r="S40" i="1"/>
  <c r="P40" i="1"/>
  <c r="V40" i="1"/>
  <c r="Z40" i="1"/>
  <c r="Y40" i="1"/>
  <c r="X40" i="1"/>
  <c r="W40" i="1"/>
  <c r="R40" i="1"/>
  <c r="Q40" i="1"/>
  <c r="W54" i="1"/>
  <c r="O54" i="1"/>
  <c r="AD54" i="1"/>
  <c r="V54" i="1"/>
  <c r="N54" i="1"/>
  <c r="AC54" i="1"/>
  <c r="U54" i="1"/>
  <c r="AB54" i="1"/>
  <c r="T54" i="1"/>
  <c r="AA54" i="1"/>
  <c r="S54" i="1"/>
  <c r="Z54" i="1"/>
  <c r="R54" i="1"/>
  <c r="Y54" i="1"/>
  <c r="Q54" i="1"/>
  <c r="X54" i="1"/>
  <c r="P54" i="1"/>
  <c r="U38" i="1"/>
  <c r="T38" i="1"/>
  <c r="S38" i="1"/>
  <c r="O38" i="1"/>
  <c r="N38" i="1"/>
  <c r="P38" i="1"/>
  <c r="W38" i="1"/>
  <c r="V38" i="1"/>
  <c r="R38" i="1"/>
  <c r="Q38" i="1"/>
  <c r="Y60" i="1"/>
  <c r="Q60" i="1"/>
  <c r="X60" i="1"/>
  <c r="P60" i="1"/>
  <c r="W60" i="1"/>
  <c r="O60" i="1"/>
  <c r="AD60" i="1"/>
  <c r="V60" i="1"/>
  <c r="N60" i="1"/>
  <c r="AC60" i="1"/>
  <c r="U60" i="1"/>
  <c r="AB60" i="1"/>
  <c r="T60" i="1"/>
  <c r="AA60" i="1"/>
  <c r="S60" i="1"/>
  <c r="Z60" i="1"/>
  <c r="R60" i="1"/>
  <c r="P24" i="1"/>
  <c r="AG24" i="1" s="1"/>
  <c r="AH24" i="1" s="1"/>
  <c r="AD49" i="1"/>
  <c r="AC49" i="1"/>
  <c r="R39" i="1"/>
  <c r="X39" i="1"/>
  <c r="Y39" i="1"/>
  <c r="Q39" i="1"/>
  <c r="P39" i="1"/>
  <c r="W39" i="1"/>
  <c r="U39" i="1"/>
  <c r="V39" i="1"/>
  <c r="T39" i="1"/>
  <c r="S39" i="1"/>
  <c r="AA29" i="1"/>
  <c r="AG29" i="1" s="1"/>
  <c r="AH29" i="1" s="1"/>
  <c r="L17" i="1"/>
  <c r="K17" i="1"/>
  <c r="AG17" i="1" s="1"/>
  <c r="AH17" i="1" s="1"/>
  <c r="AB31" i="1"/>
  <c r="AG31" i="1" s="1"/>
  <c r="AH31" i="1" s="1"/>
  <c r="AC31" i="1"/>
  <c r="I13" i="1"/>
  <c r="AG13" i="1" s="1"/>
  <c r="AH13" i="1" s="1"/>
  <c r="Q15" i="1"/>
  <c r="P15" i="1"/>
  <c r="O15" i="1"/>
  <c r="N15" i="1"/>
  <c r="M15" i="1"/>
  <c r="V27" i="1"/>
  <c r="T27" i="1"/>
  <c r="U27" i="1"/>
  <c r="W27" i="1"/>
  <c r="Z27" i="1"/>
  <c r="Y27" i="1"/>
  <c r="R27" i="1"/>
  <c r="X27" i="1"/>
  <c r="S27" i="1"/>
  <c r="Z58" i="1"/>
  <c r="R58" i="1"/>
  <c r="Y58" i="1"/>
  <c r="Q58" i="1"/>
  <c r="X58" i="1"/>
  <c r="P58" i="1"/>
  <c r="W58" i="1"/>
  <c r="O58" i="1"/>
  <c r="AD58" i="1"/>
  <c r="V58" i="1"/>
  <c r="N58" i="1"/>
  <c r="AC58" i="1"/>
  <c r="U58" i="1"/>
  <c r="AB58" i="1"/>
  <c r="T58" i="1"/>
  <c r="AA58" i="1"/>
  <c r="S58" i="1"/>
  <c r="AD57" i="1"/>
  <c r="V57" i="1"/>
  <c r="N57" i="1"/>
  <c r="AC57" i="1"/>
  <c r="U57" i="1"/>
  <c r="AB57" i="1"/>
  <c r="T57" i="1"/>
  <c r="AA57" i="1"/>
  <c r="S57" i="1"/>
  <c r="Z57" i="1"/>
  <c r="R57" i="1"/>
  <c r="Y57" i="1"/>
  <c r="Q57" i="1"/>
  <c r="X57" i="1"/>
  <c r="P57" i="1"/>
  <c r="W57" i="1"/>
  <c r="O57" i="1"/>
  <c r="AD59" i="1"/>
  <c r="V59" i="1"/>
  <c r="N59" i="1"/>
  <c r="AG59" i="1" s="1"/>
  <c r="AH59" i="1" s="1"/>
  <c r="AC59" i="1"/>
  <c r="U59" i="1"/>
  <c r="AB59" i="1"/>
  <c r="T59" i="1"/>
  <c r="AA59" i="1"/>
  <c r="S59" i="1"/>
  <c r="Z59" i="1"/>
  <c r="R59" i="1"/>
  <c r="Y59" i="1"/>
  <c r="Q59" i="1"/>
  <c r="X59" i="1"/>
  <c r="P59" i="1"/>
  <c r="W59" i="1"/>
  <c r="O59" i="1"/>
  <c r="M19" i="1"/>
  <c r="AG19" i="1" s="1"/>
  <c r="AH19" i="1" s="1"/>
  <c r="N19" i="1"/>
  <c r="W11" i="1"/>
  <c r="O11" i="1"/>
  <c r="AC11" i="1"/>
  <c r="U11" i="1"/>
  <c r="AD11" i="1"/>
  <c r="V11" i="1"/>
  <c r="N11" i="1"/>
  <c r="H61" i="1"/>
  <c r="Y11" i="1"/>
  <c r="L11" i="1"/>
  <c r="L62" i="1" s="1"/>
  <c r="L64" i="1" s="1"/>
  <c r="X11" i="1"/>
  <c r="K11" i="1"/>
  <c r="K62" i="1" s="1"/>
  <c r="K64" i="1" s="1"/>
  <c r="I11" i="1"/>
  <c r="AB11" i="1"/>
  <c r="J11" i="1"/>
  <c r="J62" i="1" s="1"/>
  <c r="J64" i="1" s="1"/>
  <c r="S11" i="1"/>
  <c r="R11" i="1"/>
  <c r="T11" i="1"/>
  <c r="Z11" i="1"/>
  <c r="Q11" i="1"/>
  <c r="M11" i="1"/>
  <c r="AA11" i="1"/>
  <c r="P11" i="1"/>
  <c r="AA33" i="1"/>
  <c r="S33" i="1"/>
  <c r="Y33" i="1"/>
  <c r="Z33" i="1"/>
  <c r="R33" i="1"/>
  <c r="AC33" i="1"/>
  <c r="AB33" i="1"/>
  <c r="V33" i="1"/>
  <c r="X33" i="1"/>
  <c r="W33" i="1"/>
  <c r="T33" i="1"/>
  <c r="U33" i="1"/>
  <c r="AH20" i="1"/>
  <c r="N20" i="1"/>
  <c r="AG20" i="1" s="1"/>
  <c r="AA44" i="1"/>
  <c r="Z44" i="1"/>
  <c r="Y44" i="1"/>
  <c r="AC44" i="1"/>
  <c r="AB44" i="1"/>
  <c r="X44" i="1"/>
  <c r="W44" i="1"/>
  <c r="V44" i="1"/>
  <c r="U44" i="1"/>
  <c r="X36" i="1"/>
  <c r="V36" i="1"/>
  <c r="W36" i="1"/>
  <c r="T36" i="1"/>
  <c r="S36" i="1"/>
  <c r="AC36" i="1"/>
  <c r="Z36" i="1"/>
  <c r="AB36" i="1"/>
  <c r="U36" i="1"/>
  <c r="AA36" i="1"/>
  <c r="Y36" i="1"/>
  <c r="AA51" i="1"/>
  <c r="S51" i="1"/>
  <c r="Z51" i="1"/>
  <c r="R51" i="1"/>
  <c r="Y51" i="1"/>
  <c r="Q51" i="1"/>
  <c r="X51" i="1"/>
  <c r="P51" i="1"/>
  <c r="W51" i="1"/>
  <c r="O51" i="1"/>
  <c r="AD51" i="1"/>
  <c r="V51" i="1"/>
  <c r="N51" i="1"/>
  <c r="AC51" i="1"/>
  <c r="U51" i="1"/>
  <c r="AB51" i="1"/>
  <c r="T51" i="1"/>
  <c r="O22" i="1"/>
  <c r="AG22" i="1" s="1"/>
  <c r="AH22" i="1" s="1"/>
  <c r="P23" i="1"/>
  <c r="O23" i="1"/>
  <c r="AG23" i="1" s="1"/>
  <c r="AH23" i="1" s="1"/>
  <c r="O21" i="1"/>
  <c r="N21" i="1"/>
  <c r="K14" i="1"/>
  <c r="AG14" i="1" s="1"/>
  <c r="AH14" i="1"/>
  <c r="AA53" i="1"/>
  <c r="S53" i="1"/>
  <c r="Z53" i="1"/>
  <c r="R53" i="1"/>
  <c r="Y53" i="1"/>
  <c r="Q53" i="1"/>
  <c r="X53" i="1"/>
  <c r="P53" i="1"/>
  <c r="W53" i="1"/>
  <c r="O53" i="1"/>
  <c r="AD53" i="1"/>
  <c r="V53" i="1"/>
  <c r="N53" i="1"/>
  <c r="AC53" i="1"/>
  <c r="U53" i="1"/>
  <c r="AB53" i="1"/>
  <c r="T53" i="1"/>
  <c r="U35" i="1"/>
  <c r="M35" i="1"/>
  <c r="S35" i="1"/>
  <c r="AB35" i="1"/>
  <c r="T35" i="1"/>
  <c r="AA35" i="1"/>
  <c r="V35" i="1"/>
  <c r="Y35" i="1"/>
  <c r="W35" i="1"/>
  <c r="R35" i="1"/>
  <c r="Q35" i="1"/>
  <c r="P35" i="1"/>
  <c r="Z35" i="1"/>
  <c r="O35" i="1"/>
  <c r="N35" i="1"/>
  <c r="X35" i="1"/>
  <c r="P25" i="1"/>
  <c r="Q25" i="1"/>
  <c r="Q26" i="1"/>
  <c r="AG26" i="1" s="1"/>
  <c r="AH26" i="1"/>
  <c r="AA55" i="1"/>
  <c r="S55" i="1"/>
  <c r="Z55" i="1"/>
  <c r="R55" i="1"/>
  <c r="Y55" i="1"/>
  <c r="Q55" i="1"/>
  <c r="X55" i="1"/>
  <c r="P55" i="1"/>
  <c r="W55" i="1"/>
  <c r="O55" i="1"/>
  <c r="AD55" i="1"/>
  <c r="V55" i="1"/>
  <c r="N55" i="1"/>
  <c r="AC55" i="1"/>
  <c r="U55" i="1"/>
  <c r="AB55" i="1"/>
  <c r="T55" i="1"/>
  <c r="AH28" i="1"/>
  <c r="AA28" i="1"/>
  <c r="AG28" i="1" s="1"/>
  <c r="M62" i="1" l="1"/>
  <c r="M64" i="1" s="1"/>
  <c r="AG25" i="1"/>
  <c r="AH25" i="1" s="1"/>
  <c r="AG35" i="1"/>
  <c r="AH35" i="1" s="1"/>
  <c r="AG33" i="1"/>
  <c r="AH33" i="1" s="1"/>
  <c r="Q62" i="1"/>
  <c r="Q64" i="1" s="1"/>
  <c r="AG11" i="1"/>
  <c r="I62" i="1"/>
  <c r="AD62" i="1"/>
  <c r="AD64" i="1" s="1"/>
  <c r="AG27" i="1"/>
  <c r="AH27" i="1" s="1"/>
  <c r="AG15" i="1"/>
  <c r="AH15" i="1" s="1"/>
  <c r="AG60" i="1"/>
  <c r="AH60" i="1" s="1"/>
  <c r="V62" i="1"/>
  <c r="V64" i="1" s="1"/>
  <c r="Z62" i="1"/>
  <c r="Z64" i="1" s="1"/>
  <c r="U62" i="1"/>
  <c r="U64" i="1" s="1"/>
  <c r="AG57" i="1"/>
  <c r="AH57" i="1" s="1"/>
  <c r="AG51" i="1"/>
  <c r="AH51" i="1" s="1"/>
  <c r="T62" i="1"/>
  <c r="T64" i="1" s="1"/>
  <c r="X62" i="1"/>
  <c r="X64" i="1" s="1"/>
  <c r="AC62" i="1"/>
  <c r="AC64" i="1" s="1"/>
  <c r="AG58" i="1"/>
  <c r="AH58" i="1" s="1"/>
  <c r="AG54" i="1"/>
  <c r="AH54" i="1" s="1"/>
  <c r="R62" i="1"/>
  <c r="R64" i="1" s="1"/>
  <c r="O62" i="1"/>
  <c r="O64" i="1" s="1"/>
  <c r="AG49" i="1"/>
  <c r="AH49" i="1" s="1"/>
  <c r="AG46" i="1"/>
  <c r="AH46" i="1" s="1"/>
  <c r="S62" i="1"/>
  <c r="S64" i="1" s="1"/>
  <c r="Y62" i="1"/>
  <c r="Y64" i="1" s="1"/>
  <c r="W62" i="1"/>
  <c r="W64" i="1" s="1"/>
  <c r="AG44" i="1"/>
  <c r="AH44" i="1" s="1"/>
  <c r="P62" i="1"/>
  <c r="P64" i="1" s="1"/>
  <c r="AG41" i="1"/>
  <c r="AH41" i="1" s="1"/>
  <c r="AG55" i="1"/>
  <c r="AH55" i="1" s="1"/>
  <c r="AG53" i="1"/>
  <c r="AH53" i="1" s="1"/>
  <c r="AG21" i="1"/>
  <c r="AH21" i="1" s="1"/>
  <c r="AG36" i="1"/>
  <c r="AH36" i="1" s="1"/>
  <c r="AA62" i="1"/>
  <c r="AA64" i="1" s="1"/>
  <c r="AB62" i="1"/>
  <c r="AB64" i="1" s="1"/>
  <c r="N62" i="1"/>
  <c r="N64" i="1" s="1"/>
  <c r="AG39" i="1"/>
  <c r="AH39" i="1" s="1"/>
  <c r="AG40" i="1"/>
  <c r="AH40" i="1" s="1"/>
  <c r="AG47" i="1"/>
  <c r="AH47" i="1" s="1"/>
  <c r="AG43" i="1"/>
  <c r="AH43" i="1" s="1"/>
  <c r="AG38" i="1"/>
  <c r="AH38" i="1" s="1"/>
  <c r="AG52" i="1"/>
  <c r="AH52" i="1" s="1"/>
  <c r="AG62" i="1" l="1"/>
  <c r="AH11" i="1"/>
  <c r="AH62" i="1" s="1"/>
  <c r="I63" i="1"/>
  <c r="I64" i="1"/>
  <c r="AG64" i="1" s="1"/>
  <c r="I78" i="1" l="1"/>
  <c r="J63" i="1"/>
  <c r="AH63" i="1"/>
  <c r="J78" i="1" l="1"/>
  <c r="K63" i="1"/>
  <c r="K78" i="1" l="1"/>
  <c r="L63" i="1"/>
  <c r="L78" i="1" l="1"/>
  <c r="M63" i="1"/>
  <c r="M78" i="1" l="1"/>
  <c r="N63" i="1"/>
  <c r="N78" i="1" l="1"/>
  <c r="O63" i="1"/>
  <c r="O78" i="1" l="1"/>
  <c r="P63" i="1"/>
  <c r="P78" i="1" l="1"/>
  <c r="Q63" i="1"/>
  <c r="Q78" i="1" l="1"/>
  <c r="R63" i="1"/>
  <c r="R78" i="1" l="1"/>
  <c r="S63" i="1"/>
  <c r="S78" i="1" l="1"/>
  <c r="T63" i="1"/>
  <c r="T78" i="1" l="1"/>
  <c r="U63" i="1"/>
  <c r="U78" i="1" l="1"/>
  <c r="V63" i="1"/>
  <c r="V78" i="1" l="1"/>
  <c r="W63" i="1"/>
  <c r="W78" i="1" l="1"/>
  <c r="X63" i="1"/>
  <c r="X78" i="1" l="1"/>
  <c r="Y63" i="1"/>
  <c r="Y78" i="1" l="1"/>
  <c r="Z63" i="1"/>
  <c r="Z78" i="1" l="1"/>
  <c r="AA63" i="1"/>
  <c r="AA78" i="1" l="1"/>
  <c r="AB63" i="1"/>
  <c r="AC63" i="1" s="1"/>
  <c r="AD63" i="1" s="1"/>
  <c r="AD78" i="1" l="1"/>
  <c r="AF69" i="1"/>
  <c r="AF61" i="1"/>
</calcChain>
</file>

<file path=xl/sharedStrings.xml><?xml version="1.0" encoding="utf-8"?>
<sst xmlns="http://schemas.openxmlformats.org/spreadsheetml/2006/main" count="92" uniqueCount="89">
  <si>
    <t>CONSTRUCTION SCHEDULE</t>
  </si>
  <si>
    <t xml:space="preserve">Project:       </t>
  </si>
  <si>
    <t>Owner:</t>
  </si>
  <si>
    <t xml:space="preserve">Location:    </t>
  </si>
  <si>
    <t>ITEM</t>
  </si>
  <si>
    <t>DESCRIPTION</t>
  </si>
  <si>
    <t>Qty</t>
  </si>
  <si>
    <t>Unit</t>
  </si>
  <si>
    <t>AMOUNT</t>
  </si>
  <si>
    <t>%     Weight</t>
  </si>
  <si>
    <t>MONTHS</t>
  </si>
  <si>
    <r>
      <rPr>
        <sz val="10"/>
        <color theme="1"/>
        <rFont val="Arial Narrow"/>
      </rPr>
      <t>1</t>
    </r>
    <r>
      <rPr>
        <vertAlign val="superscript"/>
        <sz val="10"/>
        <color theme="1"/>
        <rFont val="Arial Narrow"/>
      </rPr>
      <t xml:space="preserve">st </t>
    </r>
  </si>
  <si>
    <r>
      <rPr>
        <sz val="10"/>
        <color theme="1"/>
        <rFont val="Arial Narrow"/>
      </rPr>
      <t>2</t>
    </r>
    <r>
      <rPr>
        <vertAlign val="superscript"/>
        <sz val="10"/>
        <color theme="1"/>
        <rFont val="Arial Narrow"/>
      </rPr>
      <t>nd</t>
    </r>
  </si>
  <si>
    <r>
      <rPr>
        <sz val="10"/>
        <color theme="1"/>
        <rFont val="Arial Narrow"/>
      </rPr>
      <t>3</t>
    </r>
    <r>
      <rPr>
        <vertAlign val="superscript"/>
        <sz val="10"/>
        <color theme="1"/>
        <rFont val="Arial Narrow"/>
      </rPr>
      <t>rd</t>
    </r>
  </si>
  <si>
    <r>
      <rPr>
        <sz val="10"/>
        <color theme="1"/>
        <rFont val="Arial Narrow"/>
      </rPr>
      <t>4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</si>
  <si>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5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</si>
  <si>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6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</si>
  <si>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7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</si>
  <si>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8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</si>
  <si>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9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</si>
  <si>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10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</si>
  <si>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11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</si>
  <si>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12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</si>
  <si>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13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</si>
  <si>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14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</si>
  <si>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15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</si>
  <si>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16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</si>
  <si>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17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</si>
  <si>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18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</si>
  <si>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19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</si>
  <si>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20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</si>
  <si>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21</t>
    </r>
    <r>
      <rPr>
        <vertAlign val="superscript"/>
        <sz val="10"/>
        <color theme="1"/>
        <rFont val="Arial Narrow"/>
      </rPr>
      <t xml:space="preserve">th </t>
    </r>
  </si>
  <si>
    <r>
      <rPr>
        <sz val="10"/>
        <color theme="1"/>
        <rFont val="Arial Narrow"/>
      </rPr>
      <t>22</t>
    </r>
    <r>
      <rPr>
        <vertAlign val="superscript"/>
        <sz val="10"/>
        <color theme="1"/>
        <rFont val="Arial Narrow"/>
      </rPr>
      <t xml:space="preserve">th </t>
    </r>
  </si>
  <si>
    <t>PRELIMINARIES</t>
  </si>
  <si>
    <t>1.1 Preliminaries</t>
  </si>
  <si>
    <t>EARTHWORKS</t>
  </si>
  <si>
    <t>2.1 Excavation</t>
  </si>
  <si>
    <t>2.2 Termite Control</t>
  </si>
  <si>
    <t>2.3 Demolition work</t>
  </si>
  <si>
    <t>CONCRETING WORKS</t>
  </si>
  <si>
    <t>Basement 3</t>
  </si>
  <si>
    <t>Basement 2</t>
  </si>
  <si>
    <t>Basement 1</t>
  </si>
  <si>
    <t>Ground Floor</t>
  </si>
  <si>
    <r>
      <rPr>
        <sz val="10"/>
        <color theme="1"/>
        <rFont val="Arial Narrow"/>
      </rPr>
      <t>1</t>
    </r>
    <r>
      <rPr>
        <vertAlign val="superscript"/>
        <sz val="10"/>
        <color theme="1"/>
        <rFont val="Arial Narrow"/>
      </rPr>
      <t>th</t>
    </r>
    <r>
      <rPr>
        <sz val="10"/>
        <color theme="1"/>
        <rFont val="Arial Narrow"/>
      </rPr>
      <t xml:space="preserve"> Floor</t>
    </r>
  </si>
  <si>
    <r>
      <rPr>
        <sz val="10"/>
        <color theme="1"/>
        <rFont val="Arial Narrow"/>
      </rPr>
      <t>2</t>
    </r>
    <r>
      <rPr>
        <vertAlign val="superscript"/>
        <sz val="10"/>
        <color theme="1"/>
        <rFont val="Arial Narrow"/>
      </rPr>
      <t>th</t>
    </r>
    <r>
      <rPr>
        <sz val="10"/>
        <color theme="1"/>
        <rFont val="Arial Narrow"/>
      </rPr>
      <t xml:space="preserve"> Floor</t>
    </r>
  </si>
  <si>
    <r>
      <rPr>
        <sz val="10"/>
        <color theme="1"/>
        <rFont val="Arial Narrow"/>
      </rPr>
      <t>3</t>
    </r>
    <r>
      <rPr>
        <vertAlign val="superscript"/>
        <sz val="10"/>
        <color theme="1"/>
        <rFont val="Arial Narrow"/>
      </rPr>
      <t>th</t>
    </r>
    <r>
      <rPr>
        <sz val="10"/>
        <color theme="1"/>
        <rFont val="Arial Narrow"/>
      </rPr>
      <t xml:space="preserve"> Floor</t>
    </r>
  </si>
  <si>
    <r>
      <rPr>
        <sz val="10"/>
        <color theme="1"/>
        <rFont val="Arial Narrow"/>
      </rPr>
      <t>4</t>
    </r>
    <r>
      <rPr>
        <vertAlign val="superscript"/>
        <sz val="10"/>
        <color theme="1"/>
        <rFont val="Arial Narrow"/>
      </rPr>
      <t>th</t>
    </r>
    <r>
      <rPr>
        <sz val="10"/>
        <color theme="1"/>
        <rFont val="Arial Narrow"/>
      </rPr>
      <t xml:space="preserve"> Floor</t>
    </r>
  </si>
  <si>
    <r>
      <rPr>
        <sz val="10"/>
        <color theme="1"/>
        <rFont val="Arial Narrow"/>
      </rPr>
      <t>5</t>
    </r>
    <r>
      <rPr>
        <vertAlign val="superscript"/>
        <sz val="10"/>
        <color theme="1"/>
        <rFont val="Arial Narrow"/>
      </rPr>
      <t>th</t>
    </r>
    <r>
      <rPr>
        <sz val="10"/>
        <color theme="1"/>
        <rFont val="Arial Narrow"/>
      </rPr>
      <t xml:space="preserve"> Floor</t>
    </r>
  </si>
  <si>
    <r>
      <rPr>
        <sz val="10"/>
        <color theme="1"/>
        <rFont val="Arial Narrow"/>
      </rPr>
      <t>6</t>
    </r>
    <r>
      <rPr>
        <vertAlign val="superscript"/>
        <sz val="10"/>
        <color theme="1"/>
        <rFont val="Arial Narrow"/>
      </rPr>
      <t>th</t>
    </r>
    <r>
      <rPr>
        <sz val="10"/>
        <color theme="1"/>
        <rFont val="Arial Narrow"/>
      </rPr>
      <t xml:space="preserve"> Floor</t>
    </r>
  </si>
  <si>
    <r>
      <rPr>
        <sz val="10"/>
        <color theme="1"/>
        <rFont val="Arial Narrow"/>
      </rPr>
      <t>7</t>
    </r>
    <r>
      <rPr>
        <vertAlign val="superscript"/>
        <sz val="10"/>
        <color theme="1"/>
        <rFont val="Arial Narrow"/>
      </rPr>
      <t>th</t>
    </r>
    <r>
      <rPr>
        <sz val="10"/>
        <color theme="1"/>
        <rFont val="Arial Narrow"/>
      </rPr>
      <t>-25</t>
    </r>
    <r>
      <rPr>
        <vertAlign val="superscript"/>
        <sz val="10"/>
        <color theme="1"/>
        <rFont val="Arial Narrow"/>
      </rPr>
      <t>th</t>
    </r>
    <r>
      <rPr>
        <sz val="10"/>
        <color theme="1"/>
        <rFont val="Arial Narrow"/>
      </rPr>
      <t xml:space="preserve"> Floor</t>
    </r>
  </si>
  <si>
    <r>
      <rPr>
        <sz val="10"/>
        <color theme="1"/>
        <rFont val="Arial Narrow"/>
      </rPr>
      <t>26</t>
    </r>
    <r>
      <rPr>
        <vertAlign val="superscript"/>
        <sz val="10"/>
        <color theme="1"/>
        <rFont val="Arial Narrow"/>
      </rPr>
      <t>th</t>
    </r>
    <r>
      <rPr>
        <sz val="10"/>
        <color theme="1"/>
        <rFont val="Arial Narrow"/>
      </rPr>
      <t xml:space="preserve"> Floor</t>
    </r>
  </si>
  <si>
    <t>Penthouse 1</t>
  </si>
  <si>
    <t>Penthouse 2</t>
  </si>
  <si>
    <t>Helipad</t>
  </si>
  <si>
    <t>MASONRY WORKS</t>
  </si>
  <si>
    <t>Concrete Masonry</t>
  </si>
  <si>
    <t>STRUCTURAL STEEL</t>
  </si>
  <si>
    <t>Structural steel works</t>
  </si>
  <si>
    <t>Metal Fabrication ( Railing)</t>
  </si>
  <si>
    <t>THERMAL &amp; MOISTURE PROTECTION</t>
  </si>
  <si>
    <t xml:space="preserve"> Fireproofing</t>
  </si>
  <si>
    <t xml:space="preserve"> Water Proofing</t>
  </si>
  <si>
    <t xml:space="preserve"> Joint Protection</t>
  </si>
  <si>
    <t>Composite Panel</t>
  </si>
  <si>
    <t>OPENINGS</t>
  </si>
  <si>
    <t>Doors and Louvers</t>
  </si>
  <si>
    <t xml:space="preserve"> Finishing Hardwares</t>
  </si>
  <si>
    <t>FINISHES</t>
  </si>
  <si>
    <t>Portland Cement Plastering</t>
  </si>
  <si>
    <t>Flooring &amp; Treatment</t>
  </si>
  <si>
    <t>EXTERIOR IMPROVEMENT</t>
  </si>
  <si>
    <t xml:space="preserve"> </t>
  </si>
  <si>
    <t>Landscaping</t>
  </si>
  <si>
    <t>ELECTRICAL</t>
  </si>
  <si>
    <t>Electrical Works</t>
  </si>
  <si>
    <t>Wires and Cables</t>
  </si>
  <si>
    <t>Panel Board, Circuit Breaker</t>
  </si>
  <si>
    <t>CCTV/Monitor System</t>
  </si>
  <si>
    <t>EMT/IMC Pipes</t>
  </si>
  <si>
    <t>PLUMBING AND SANITARY</t>
  </si>
  <si>
    <t>Plumbing and Sanitary Works</t>
  </si>
  <si>
    <t>PVC Pipes</t>
  </si>
  <si>
    <t>FDAS</t>
  </si>
  <si>
    <t>FIRE PROTECTION WORKS</t>
  </si>
  <si>
    <t>Total</t>
  </si>
  <si>
    <t>PROGRESS PER MONTH</t>
  </si>
  <si>
    <t>%   CUMMULATIVE</t>
  </si>
  <si>
    <t>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</si>
</sst>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"/>
    <numFmt numFmtId="165" formatCode="0.000%"/>
    <numFmt numFmtId="166" formatCode="0.0"/>
    <numFmt numFmtId="167" formatCode="0.0%"/>
    <numFmt numFmtId="168" formatCode="0.00000000000000%"/>
  </numFmts>
  <fonts count="24" x14ac:knownFonts="1">
    <font>
      <sz val="11"/>
      <color theme="1"/>
      <name val="Calibri"/>
      <scheme val="minor"/>
    </font>
    <font>
      <sz val="8"/>
      <color theme="1"/>
      <name val="Arial Narrow"/>
    </font>
    <font>
      <sz val="10"/>
      <color theme="1"/>
      <name val="Arial Narrow"/>
    </font>
    <font>
      <sz val="10"/>
      <color theme="1"/>
      <name val="Arial"/>
    </font>
    <font>
      <b/>
      <sz val="16"/>
      <color theme="1"/>
      <name val="Arial Black"/>
    </font>
    <font>
      <b/>
      <sz val="16"/>
      <color rgb="FF0000FF"/>
      <name val="Arial Black"/>
    </font>
    <font>
      <b/>
      <sz val="12"/>
      <color theme="1"/>
      <name val="Arial Narrow"/>
    </font>
    <font>
      <b/>
      <sz val="8"/>
      <color theme="1"/>
      <name val="Arial Narrow"/>
    </font>
    <font>
      <sz val="12"/>
      <color theme="1"/>
      <name val="Arial"/>
    </font>
    <font>
      <sz val="7"/>
      <color theme="1"/>
      <name val="Arial Narrow"/>
    </font>
    <font>
      <sz val="12"/>
      <color theme="1"/>
      <name val="Arial Narrow"/>
    </font>
    <font>
      <b/>
      <sz val="10"/>
      <color theme="1"/>
      <name val="Arial Narrow"/>
    </font>
    <font>
      <sz val="11"/>
      <name val="Calibri"/>
    </font>
    <font>
      <b/>
      <sz val="14"/>
      <color theme="1"/>
      <name val="Arial"/>
    </font>
    <font>
      <sz val="11"/>
      <color theme="1"/>
      <name val="Calibri"/>
    </font>
    <font>
      <sz val="10"/>
      <color rgb="FFFFFFFF"/>
      <name val="Arial"/>
    </font>
    <font>
      <b/>
      <sz val="10"/>
      <color theme="1"/>
      <name val="Arial"/>
    </font>
    <font>
      <sz val="8"/>
      <color rgb="FFFFFFFF"/>
      <name val="Arial"/>
    </font>
    <font>
      <sz val="11"/>
      <color rgb="FFFFFFFF"/>
      <name val="Calibri"/>
      <scheme val="minor"/>
    </font>
    <font>
      <b/>
      <sz val="9"/>
      <color theme="1"/>
      <name val="Arial Narrow"/>
    </font>
    <font>
      <sz val="11"/>
      <color rgb="FFFFFFFF"/>
      <name val="Calibri"/>
    </font>
    <font>
      <sz val="10"/>
      <color rgb="FFFFFFFF"/>
      <name val="Arial Narrow"/>
    </font>
    <font>
      <vertAlign val="superscript"/>
      <sz val="10"/>
      <color theme="1"/>
      <name val="Arial Narrow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1" fillId="0" borderId="0" xfId="0" applyNumberFormat="1" applyFont="1"/>
    <xf numFmtId="0" fontId="3" fillId="0" borderId="0" xfId="0" applyFont="1"/>
    <xf numFmtId="4" fontId="5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left"/>
    </xf>
    <xf numFmtId="4" fontId="6" fillId="0" borderId="0" xfId="0" applyNumberFormat="1" applyFont="1"/>
    <xf numFmtId="4" fontId="7" fillId="0" borderId="0" xfId="0" applyNumberFormat="1" applyFont="1"/>
    <xf numFmtId="4" fontId="2" fillId="0" borderId="0" xfId="0" applyNumberFormat="1" applyFont="1"/>
    <xf numFmtId="164" fontId="6" fillId="0" borderId="0" xfId="0" applyNumberFormat="1" applyFont="1"/>
    <xf numFmtId="4" fontId="1" fillId="0" borderId="0" xfId="0" applyNumberFormat="1" applyFont="1"/>
    <xf numFmtId="4" fontId="8" fillId="0" borderId="0" xfId="0" applyNumberFormat="1" applyFont="1"/>
    <xf numFmtId="4" fontId="8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4" fontId="9" fillId="0" borderId="0" xfId="0" applyNumberFormat="1" applyFont="1"/>
    <xf numFmtId="4" fontId="2" fillId="0" borderId="0" xfId="0" quotePrefix="1" applyNumberFormat="1" applyFont="1" applyAlignment="1">
      <alignment horizontal="left"/>
    </xf>
    <xf numFmtId="4" fontId="10" fillId="0" borderId="0" xfId="0" applyNumberFormat="1" applyFont="1" applyAlignment="1">
      <alignment horizontal="left"/>
    </xf>
    <xf numFmtId="4" fontId="7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left"/>
    </xf>
    <xf numFmtId="0" fontId="3" fillId="0" borderId="10" xfId="0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166" fontId="2" fillId="0" borderId="21" xfId="0" applyNumberFormat="1" applyFont="1" applyBorder="1" applyAlignment="1">
      <alignment horizontal="center"/>
    </xf>
    <xf numFmtId="0" fontId="1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164" fontId="2" fillId="0" borderId="25" xfId="0" applyNumberFormat="1" applyFont="1" applyBorder="1" applyAlignment="1">
      <alignment horizontal="left"/>
    </xf>
    <xf numFmtId="0" fontId="14" fillId="0" borderId="25" xfId="0" applyFont="1" applyBorder="1" applyAlignment="1">
      <alignment horizontal="left"/>
    </xf>
    <xf numFmtId="0" fontId="2" fillId="0" borderId="22" xfId="0" applyFont="1" applyBorder="1"/>
    <xf numFmtId="165" fontId="1" fillId="0" borderId="26" xfId="0" applyNumberFormat="1" applyFont="1" applyBorder="1"/>
    <xf numFmtId="0" fontId="15" fillId="0" borderId="27" xfId="0" applyFont="1" applyBorder="1"/>
    <xf numFmtId="0" fontId="15" fillId="0" borderId="28" xfId="0" applyFont="1" applyBorder="1"/>
    <xf numFmtId="0" fontId="15" fillId="0" borderId="29" xfId="0" applyFont="1" applyBorder="1"/>
    <xf numFmtId="0" fontId="2" fillId="0" borderId="22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164" fontId="2" fillId="0" borderId="22" xfId="0" applyNumberFormat="1" applyFont="1" applyBorder="1"/>
    <xf numFmtId="0" fontId="15" fillId="0" borderId="30" xfId="0" applyFont="1" applyBorder="1"/>
    <xf numFmtId="0" fontId="15" fillId="0" borderId="25" xfId="0" applyFont="1" applyBorder="1"/>
    <xf numFmtId="0" fontId="15" fillId="0" borderId="26" xfId="0" applyFont="1" applyBorder="1"/>
    <xf numFmtId="165" fontId="14" fillId="0" borderId="0" xfId="0" applyNumberFormat="1" applyFont="1"/>
    <xf numFmtId="0" fontId="11" fillId="0" borderId="22" xfId="0" applyFont="1" applyBorder="1"/>
    <xf numFmtId="0" fontId="7" fillId="0" borderId="23" xfId="0" applyFont="1" applyBorder="1"/>
    <xf numFmtId="0" fontId="11" fillId="0" borderId="24" xfId="0" applyFont="1" applyBorder="1"/>
    <xf numFmtId="164" fontId="11" fillId="0" borderId="25" xfId="0" applyNumberFormat="1" applyFont="1" applyBorder="1"/>
    <xf numFmtId="0" fontId="16" fillId="0" borderId="25" xfId="0" applyFont="1" applyBorder="1"/>
    <xf numFmtId="43" fontId="11" fillId="0" borderId="22" xfId="0" applyNumberFormat="1" applyFont="1" applyBorder="1"/>
    <xf numFmtId="0" fontId="2" fillId="0" borderId="21" xfId="0" applyFont="1" applyBorder="1" applyAlignment="1">
      <alignment horizontal="center"/>
    </xf>
    <xf numFmtId="0" fontId="2" fillId="0" borderId="24" xfId="0" applyFont="1" applyBorder="1"/>
    <xf numFmtId="164" fontId="2" fillId="0" borderId="25" xfId="0" applyNumberFormat="1" applyFont="1" applyBorder="1"/>
    <xf numFmtId="0" fontId="3" fillId="0" borderId="25" xfId="0" applyFont="1" applyBorder="1"/>
    <xf numFmtId="43" fontId="2" fillId="0" borderId="22" xfId="0" applyNumberFormat="1" applyFont="1" applyBorder="1"/>
    <xf numFmtId="165" fontId="17" fillId="0" borderId="30" xfId="0" applyNumberFormat="1" applyFont="1" applyBorder="1"/>
    <xf numFmtId="0" fontId="17" fillId="0" borderId="25" xfId="0" applyFont="1" applyBorder="1"/>
    <xf numFmtId="165" fontId="17" fillId="0" borderId="25" xfId="0" applyNumberFormat="1" applyFont="1" applyBorder="1"/>
    <xf numFmtId="0" fontId="17" fillId="0" borderId="30" xfId="0" applyFont="1" applyBorder="1"/>
    <xf numFmtId="0" fontId="1" fillId="0" borderId="23" xfId="0" applyFont="1" applyBorder="1"/>
    <xf numFmtId="0" fontId="2" fillId="0" borderId="25" xfId="0" applyFont="1" applyBorder="1"/>
    <xf numFmtId="0" fontId="18" fillId="0" borderId="0" xfId="0" applyFont="1"/>
    <xf numFmtId="164" fontId="2" fillId="0" borderId="24" xfId="0" applyNumberFormat="1" applyFont="1" applyBorder="1"/>
    <xf numFmtId="0" fontId="2" fillId="0" borderId="31" xfId="0" applyFont="1" applyBorder="1" applyAlignment="1">
      <alignment horizontal="left"/>
    </xf>
    <xf numFmtId="0" fontId="2" fillId="0" borderId="32" xfId="0" applyFont="1" applyBorder="1"/>
    <xf numFmtId="10" fontId="15" fillId="0" borderId="25" xfId="0" applyNumberFormat="1" applyFont="1" applyBorder="1"/>
    <xf numFmtId="165" fontId="15" fillId="0" borderId="25" xfId="0" applyNumberFormat="1" applyFont="1" applyBorder="1"/>
    <xf numFmtId="0" fontId="2" fillId="0" borderId="33" xfId="0" applyFont="1" applyBorder="1" applyAlignment="1">
      <alignment horizontal="left"/>
    </xf>
    <xf numFmtId="10" fontId="17" fillId="0" borderId="25" xfId="0" applyNumberFormat="1" applyFont="1" applyBorder="1"/>
    <xf numFmtId="167" fontId="15" fillId="0" borderId="25" xfId="0" applyNumberFormat="1" applyFont="1" applyBorder="1"/>
    <xf numFmtId="9" fontId="17" fillId="0" borderId="25" xfId="0" applyNumberFormat="1" applyFont="1" applyBorder="1"/>
    <xf numFmtId="43" fontId="2" fillId="0" borderId="24" xfId="0" applyNumberFormat="1" applyFont="1" applyBorder="1"/>
    <xf numFmtId="164" fontId="2" fillId="0" borderId="22" xfId="0" applyNumberFormat="1" applyFont="1" applyBorder="1" applyAlignment="1">
      <alignment horizontal="right"/>
    </xf>
    <xf numFmtId="43" fontId="11" fillId="0" borderId="34" xfId="0" applyNumberFormat="1" applyFont="1" applyBorder="1"/>
    <xf numFmtId="164" fontId="2" fillId="0" borderId="35" xfId="0" applyNumberFormat="1" applyFont="1" applyBorder="1"/>
    <xf numFmtId="0" fontId="2" fillId="0" borderId="36" xfId="0" applyFont="1" applyBorder="1" applyAlignment="1">
      <alignment horizontal="left"/>
    </xf>
    <xf numFmtId="0" fontId="11" fillId="0" borderId="31" xfId="0" applyFont="1" applyBorder="1" applyAlignment="1">
      <alignment horizontal="left"/>
    </xf>
    <xf numFmtId="0" fontId="2" fillId="0" borderId="21" xfId="0" applyFont="1" applyBorder="1"/>
    <xf numFmtId="43" fontId="11" fillId="0" borderId="32" xfId="0" applyNumberFormat="1" applyFont="1" applyBorder="1"/>
    <xf numFmtId="164" fontId="7" fillId="0" borderId="25" xfId="0" applyNumberFormat="1" applyFont="1" applyBorder="1"/>
    <xf numFmtId="0" fontId="1" fillId="0" borderId="21" xfId="0" applyFont="1" applyBorder="1"/>
    <xf numFmtId="166" fontId="1" fillId="0" borderId="21" xfId="0" applyNumberFormat="1" applyFont="1" applyBorder="1" applyAlignment="1">
      <alignment horizontal="center"/>
    </xf>
    <xf numFmtId="43" fontId="11" fillId="0" borderId="24" xfId="0" applyNumberFormat="1" applyFont="1" applyBorder="1"/>
    <xf numFmtId="164" fontId="2" fillId="0" borderId="37" xfId="0" applyNumberFormat="1" applyFont="1" applyBorder="1"/>
    <xf numFmtId="0" fontId="3" fillId="0" borderId="37" xfId="0" applyFont="1" applyBorder="1"/>
    <xf numFmtId="43" fontId="2" fillId="0" borderId="33" xfId="0" applyNumberFormat="1" applyFont="1" applyBorder="1"/>
    <xf numFmtId="165" fontId="1" fillId="0" borderId="38" xfId="0" applyNumberFormat="1" applyFont="1" applyBorder="1"/>
    <xf numFmtId="166" fontId="2" fillId="0" borderId="30" xfId="0" applyNumberFormat="1" applyFont="1" applyBorder="1" applyAlignment="1">
      <alignment horizontal="center"/>
    </xf>
    <xf numFmtId="0" fontId="7" fillId="0" borderId="22" xfId="0" applyFont="1" applyBorder="1"/>
    <xf numFmtId="0" fontId="11" fillId="0" borderId="25" xfId="0" applyFont="1" applyBorder="1"/>
    <xf numFmtId="0" fontId="7" fillId="0" borderId="25" xfId="0" applyFont="1" applyBorder="1"/>
    <xf numFmtId="43" fontId="11" fillId="0" borderId="33" xfId="0" applyNumberFormat="1" applyFont="1" applyBorder="1"/>
    <xf numFmtId="9" fontId="7" fillId="0" borderId="38" xfId="0" applyNumberFormat="1" applyFont="1" applyBorder="1"/>
    <xf numFmtId="0" fontId="3" fillId="0" borderId="30" xfId="0" applyFont="1" applyBorder="1"/>
    <xf numFmtId="0" fontId="3" fillId="0" borderId="26" xfId="0" applyFont="1" applyBorder="1"/>
    <xf numFmtId="10" fontId="1" fillId="0" borderId="30" xfId="0" applyNumberFormat="1" applyFont="1" applyBorder="1"/>
    <xf numFmtId="10" fontId="1" fillId="0" borderId="25" xfId="0" applyNumberFormat="1" applyFont="1" applyBorder="1"/>
    <xf numFmtId="10" fontId="1" fillId="0" borderId="26" xfId="0" applyNumberFormat="1" applyFont="1" applyBorder="1"/>
    <xf numFmtId="0" fontId="1" fillId="0" borderId="10" xfId="0" applyFont="1" applyBorder="1"/>
    <xf numFmtId="10" fontId="1" fillId="0" borderId="0" xfId="0" applyNumberFormat="1" applyFont="1"/>
    <xf numFmtId="164" fontId="7" fillId="0" borderId="42" xfId="0" applyNumberFormat="1" applyFont="1" applyBorder="1" applyAlignment="1">
      <alignment horizontal="center" vertical="center" textRotation="90"/>
    </xf>
    <xf numFmtId="164" fontId="7" fillId="0" borderId="43" xfId="0" applyNumberFormat="1" applyFont="1" applyBorder="1" applyAlignment="1">
      <alignment horizontal="center" vertical="center" textRotation="90"/>
    </xf>
    <xf numFmtId="164" fontId="7" fillId="0" borderId="44" xfId="0" applyNumberFormat="1" applyFont="1" applyBorder="1" applyAlignment="1">
      <alignment horizontal="center" vertical="center" textRotation="90"/>
    </xf>
    <xf numFmtId="43" fontId="1" fillId="0" borderId="0" xfId="0" applyNumberFormat="1" applyFont="1" applyAlignment="1">
      <alignment textRotation="90"/>
    </xf>
    <xf numFmtId="166" fontId="3" fillId="0" borderId="0" xfId="0" applyNumberFormat="1" applyFont="1"/>
    <xf numFmtId="43" fontId="14" fillId="0" borderId="0" xfId="0" applyNumberFormat="1" applyFont="1"/>
    <xf numFmtId="10" fontId="3" fillId="0" borderId="0" xfId="0" applyNumberFormat="1" applyFont="1"/>
    <xf numFmtId="0" fontId="15" fillId="2" borderId="0" xfId="0" applyFont="1" applyFill="1"/>
    <xf numFmtId="0" fontId="18" fillId="2" borderId="0" xfId="0" applyFont="1" applyFill="1"/>
    <xf numFmtId="43" fontId="20" fillId="0" borderId="0" xfId="0" applyNumberFormat="1" applyFont="1"/>
    <xf numFmtId="168" fontId="20" fillId="2" borderId="0" xfId="0" applyNumberFormat="1" applyFont="1" applyFill="1"/>
    <xf numFmtId="43" fontId="1" fillId="0" borderId="0" xfId="0" applyNumberFormat="1" applyFont="1"/>
    <xf numFmtId="165" fontId="3" fillId="0" borderId="0" xfId="0" applyNumberFormat="1" applyFont="1"/>
    <xf numFmtId="10" fontId="14" fillId="0" borderId="0" xfId="0" applyNumberFormat="1" applyFont="1"/>
    <xf numFmtId="10" fontId="1" fillId="0" borderId="45" xfId="0" applyNumberFormat="1" applyFont="1" applyBorder="1"/>
    <xf numFmtId="10" fontId="1" fillId="0" borderId="18" xfId="0" applyNumberFormat="1" applyFont="1" applyBorder="1"/>
    <xf numFmtId="0" fontId="3" fillId="0" borderId="9" xfId="0" applyFont="1" applyBorder="1"/>
    <xf numFmtId="0" fontId="16" fillId="0" borderId="0" xfId="0" applyFont="1"/>
    <xf numFmtId="43" fontId="11" fillId="0" borderId="0" xfId="0" applyNumberFormat="1" applyFont="1"/>
    <xf numFmtId="164" fontId="1" fillId="0" borderId="0" xfId="0" applyNumberFormat="1" applyFont="1"/>
    <xf numFmtId="9" fontId="1" fillId="0" borderId="0" xfId="0" applyNumberFormat="1" applyFont="1"/>
    <xf numFmtId="0" fontId="21" fillId="0" borderId="0" xfId="0" applyFont="1"/>
    <xf numFmtId="4" fontId="11" fillId="0" borderId="2" xfId="0" applyNumberFormat="1" applyFont="1" applyBorder="1" applyAlignment="1">
      <alignment horizontal="center" vertical="center" wrapText="1"/>
    </xf>
    <xf numFmtId="0" fontId="12" fillId="0" borderId="3" xfId="0" applyFont="1" applyBorder="1"/>
    <xf numFmtId="0" fontId="12" fillId="0" borderId="4" xfId="0" applyFont="1" applyBorder="1"/>
    <xf numFmtId="0" fontId="12" fillId="0" borderId="12" xfId="0" applyFont="1" applyBorder="1"/>
    <xf numFmtId="0" fontId="12" fillId="0" borderId="13" xfId="0" applyFont="1" applyBorder="1"/>
    <xf numFmtId="0" fontId="12" fillId="0" borderId="14" xfId="0" applyFont="1" applyBorder="1"/>
    <xf numFmtId="0" fontId="19" fillId="0" borderId="21" xfId="0" applyFont="1" applyBorder="1" applyAlignment="1">
      <alignment horizontal="left"/>
    </xf>
    <xf numFmtId="0" fontId="12" fillId="0" borderId="23" xfId="0" applyFont="1" applyBorder="1"/>
    <xf numFmtId="0" fontId="12" fillId="0" borderId="24" xfId="0" applyFont="1" applyBorder="1"/>
    <xf numFmtId="0" fontId="7" fillId="0" borderId="21" xfId="0" applyFont="1" applyBorder="1" applyAlignment="1">
      <alignment horizontal="center" vertical="center"/>
    </xf>
    <xf numFmtId="0" fontId="12" fillId="0" borderId="39" xfId="0" applyFont="1" applyBorder="1"/>
    <xf numFmtId="4" fontId="7" fillId="0" borderId="21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0" fontId="12" fillId="0" borderId="40" xfId="0" applyFont="1" applyBorder="1"/>
    <xf numFmtId="0" fontId="12" fillId="0" borderId="41" xfId="0" applyFont="1" applyBorder="1"/>
    <xf numFmtId="4" fontId="4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2" fillId="0" borderId="11" xfId="0" applyFont="1" applyBorder="1"/>
    <xf numFmtId="164" fontId="6" fillId="0" borderId="5" xfId="0" applyNumberFormat="1" applyFont="1" applyBorder="1" applyAlignment="1">
      <alignment horizontal="center" vertical="center" wrapText="1"/>
    </xf>
    <xf numFmtId="0" fontId="12" fillId="0" borderId="15" xfId="0" applyFont="1" applyBorder="1"/>
    <xf numFmtId="4" fontId="6" fillId="0" borderId="5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 wrapText="1"/>
    </xf>
    <xf numFmtId="0" fontId="12" fillId="0" borderId="16" xfId="0" applyFont="1" applyBorder="1"/>
    <xf numFmtId="0" fontId="13" fillId="0" borderId="7" xfId="0" applyFont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/>
    <xf numFmtId="168" fontId="2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37</xdr:row>
      <xdr:rowOff>38100</xdr:rowOff>
    </xdr:from>
    <xdr:ext cx="4476750" cy="952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107625" y="3737138"/>
          <a:ext cx="4476750" cy="85725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38</xdr:row>
      <xdr:rowOff>38100</xdr:rowOff>
    </xdr:from>
    <xdr:ext cx="4476750" cy="857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107625" y="3741900"/>
          <a:ext cx="447675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39</xdr:row>
      <xdr:rowOff>38100</xdr:rowOff>
    </xdr:from>
    <xdr:ext cx="4933950" cy="857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883788" y="3741900"/>
          <a:ext cx="4924425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38100</xdr:rowOff>
    </xdr:from>
    <xdr:ext cx="5372100" cy="952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659950" y="3737138"/>
          <a:ext cx="5372100" cy="85725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46</xdr:row>
      <xdr:rowOff>38100</xdr:rowOff>
    </xdr:from>
    <xdr:ext cx="5372100" cy="857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659950" y="3741900"/>
          <a:ext cx="537210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47</xdr:row>
      <xdr:rowOff>38100</xdr:rowOff>
    </xdr:from>
    <xdr:ext cx="6715125" cy="857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988438" y="3741900"/>
          <a:ext cx="6715125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361950</xdr:colOff>
      <xdr:row>26</xdr:row>
      <xdr:rowOff>66675</xdr:rowOff>
    </xdr:from>
    <xdr:ext cx="4124325" cy="857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288600" y="3741900"/>
          <a:ext cx="411480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438150</xdr:colOff>
      <xdr:row>34</xdr:row>
      <xdr:rowOff>47625</xdr:rowOff>
    </xdr:from>
    <xdr:ext cx="7162800" cy="762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769363" y="3741900"/>
          <a:ext cx="7153275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209550</xdr:colOff>
      <xdr:row>12</xdr:row>
      <xdr:rowOff>38100</xdr:rowOff>
    </xdr:from>
    <xdr:ext cx="1028700" cy="857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836413" y="3741900"/>
          <a:ext cx="1019175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104775</xdr:colOff>
      <xdr:row>13</xdr:row>
      <xdr:rowOff>47625</xdr:rowOff>
    </xdr:from>
    <xdr:ext cx="171450" cy="762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265038" y="3741900"/>
          <a:ext cx="161925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381000</xdr:colOff>
      <xdr:row>16</xdr:row>
      <xdr:rowOff>38100</xdr:rowOff>
    </xdr:from>
    <xdr:ext cx="561975" cy="857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069775" y="3741900"/>
          <a:ext cx="55245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76200</xdr:colOff>
      <xdr:row>17</xdr:row>
      <xdr:rowOff>47625</xdr:rowOff>
    </xdr:from>
    <xdr:ext cx="238125" cy="762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231700" y="3741900"/>
          <a:ext cx="22860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314325</xdr:colOff>
      <xdr:row>18</xdr:row>
      <xdr:rowOff>38100</xdr:rowOff>
    </xdr:from>
    <xdr:ext cx="238125" cy="85725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231700" y="3741900"/>
          <a:ext cx="22860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85725</xdr:colOff>
      <xdr:row>19</xdr:row>
      <xdr:rowOff>57150</xdr:rowOff>
    </xdr:from>
    <xdr:ext cx="238125" cy="76200"/>
    <xdr:sp macro="" textlink="">
      <xdr:nvSpPr>
        <xdr:cNvPr id="15" name="Shap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231700" y="3741900"/>
          <a:ext cx="22860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314325</xdr:colOff>
      <xdr:row>20</xdr:row>
      <xdr:rowOff>57150</xdr:rowOff>
    </xdr:from>
    <xdr:ext cx="238125" cy="76200"/>
    <xdr:sp macro="" textlink="">
      <xdr:nvSpPr>
        <xdr:cNvPr id="16" name="Shape 1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231700" y="3741900"/>
          <a:ext cx="22860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104775</xdr:colOff>
      <xdr:row>21</xdr:row>
      <xdr:rowOff>47625</xdr:rowOff>
    </xdr:from>
    <xdr:ext cx="238125" cy="76200"/>
    <xdr:sp macro="" textlink="">
      <xdr:nvSpPr>
        <xdr:cNvPr id="17" name="Shape 1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231700" y="3741900"/>
          <a:ext cx="22860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342900</xdr:colOff>
      <xdr:row>22</xdr:row>
      <xdr:rowOff>76200</xdr:rowOff>
    </xdr:from>
    <xdr:ext cx="219075" cy="76200"/>
    <xdr:sp macro="" textlink="">
      <xdr:nvSpPr>
        <xdr:cNvPr id="18" name="Shape 1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241225" y="3746663"/>
          <a:ext cx="209550" cy="66675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85725</xdr:colOff>
      <xdr:row>23</xdr:row>
      <xdr:rowOff>66675</xdr:rowOff>
    </xdr:from>
    <xdr:ext cx="238125" cy="76200"/>
    <xdr:sp macro="" textlink="">
      <xdr:nvSpPr>
        <xdr:cNvPr id="19" name="Shape 1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231700" y="3741900"/>
          <a:ext cx="22860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314325</xdr:colOff>
      <xdr:row>24</xdr:row>
      <xdr:rowOff>76200</xdr:rowOff>
    </xdr:from>
    <xdr:ext cx="238125" cy="76200"/>
    <xdr:sp macro="" textlink="">
      <xdr:nvSpPr>
        <xdr:cNvPr id="20" name="Shape 16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231700" y="3741900"/>
          <a:ext cx="22860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85725</xdr:colOff>
      <xdr:row>25</xdr:row>
      <xdr:rowOff>47625</xdr:rowOff>
    </xdr:from>
    <xdr:ext cx="238125" cy="7620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231700" y="3741900"/>
          <a:ext cx="22860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66675</xdr:colOff>
      <xdr:row>27</xdr:row>
      <xdr:rowOff>57150</xdr:rowOff>
    </xdr:from>
    <xdr:ext cx="238125" cy="7620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231700" y="3741900"/>
          <a:ext cx="22860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314325</xdr:colOff>
      <xdr:row>28</xdr:row>
      <xdr:rowOff>28575</xdr:rowOff>
    </xdr:from>
    <xdr:ext cx="161925" cy="95250"/>
    <xdr:sp macro="" textlink="">
      <xdr:nvSpPr>
        <xdr:cNvPr id="23" name="Shape 17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269800" y="3737138"/>
          <a:ext cx="152400" cy="85725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57150</xdr:colOff>
      <xdr:row>29</xdr:row>
      <xdr:rowOff>28575</xdr:rowOff>
    </xdr:from>
    <xdr:ext cx="219075" cy="76200"/>
    <xdr:sp macro="" textlink="">
      <xdr:nvSpPr>
        <xdr:cNvPr id="24" name="Shape 1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241225" y="3741900"/>
          <a:ext cx="20955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333375</xdr:colOff>
      <xdr:row>30</xdr:row>
      <xdr:rowOff>47625</xdr:rowOff>
    </xdr:from>
    <xdr:ext cx="219075" cy="85725"/>
    <xdr:sp macro="" textlink="">
      <xdr:nvSpPr>
        <xdr:cNvPr id="25" name="Shape 19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241225" y="3741900"/>
          <a:ext cx="20955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50</xdr:row>
      <xdr:rowOff>38100</xdr:rowOff>
    </xdr:from>
    <xdr:ext cx="7591425" cy="104775"/>
    <xdr:sp macro="" textlink="">
      <xdr:nvSpPr>
        <xdr:cNvPr id="26" name="Shape 2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555050" y="3732375"/>
          <a:ext cx="7581900" cy="9525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56</xdr:row>
      <xdr:rowOff>38100</xdr:rowOff>
    </xdr:from>
    <xdr:ext cx="7581900" cy="85725"/>
    <xdr:sp macro="" textlink="">
      <xdr:nvSpPr>
        <xdr:cNvPr id="27" name="Shape 2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559813" y="3741900"/>
          <a:ext cx="7572375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57</xdr:row>
      <xdr:rowOff>57150</xdr:rowOff>
    </xdr:from>
    <xdr:ext cx="7581900" cy="76200"/>
    <xdr:sp macro="" textlink="">
      <xdr:nvSpPr>
        <xdr:cNvPr id="28" name="Shape 2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559813" y="3741900"/>
          <a:ext cx="7572375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59</xdr:row>
      <xdr:rowOff>38100</xdr:rowOff>
    </xdr:from>
    <xdr:ext cx="7581900" cy="85725"/>
    <xdr:sp macro="" textlink="">
      <xdr:nvSpPr>
        <xdr:cNvPr id="29" name="Shape 2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559813" y="3741900"/>
          <a:ext cx="7572375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51</xdr:row>
      <xdr:rowOff>38100</xdr:rowOff>
    </xdr:from>
    <xdr:ext cx="7591425" cy="104775"/>
    <xdr:sp macro="" textlink="">
      <xdr:nvSpPr>
        <xdr:cNvPr id="30" name="Shape 2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555050" y="3732375"/>
          <a:ext cx="7581900" cy="9525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52</xdr:row>
      <xdr:rowOff>38100</xdr:rowOff>
    </xdr:from>
    <xdr:ext cx="7591425" cy="104775"/>
    <xdr:sp macro="" textlink="">
      <xdr:nvSpPr>
        <xdr:cNvPr id="31" name="Shape 2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555050" y="3732375"/>
          <a:ext cx="7581900" cy="9525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53</xdr:row>
      <xdr:rowOff>38100</xdr:rowOff>
    </xdr:from>
    <xdr:ext cx="7591425" cy="104775"/>
    <xdr:sp macro="" textlink="">
      <xdr:nvSpPr>
        <xdr:cNvPr id="32" name="Shape 2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555050" y="3732375"/>
          <a:ext cx="7581900" cy="9525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38100</xdr:rowOff>
    </xdr:from>
    <xdr:ext cx="7591425" cy="104775"/>
    <xdr:sp macro="" textlink="">
      <xdr:nvSpPr>
        <xdr:cNvPr id="33" name="Shape 2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1555050" y="3732375"/>
          <a:ext cx="7581900" cy="9525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58</xdr:row>
      <xdr:rowOff>47625</xdr:rowOff>
    </xdr:from>
    <xdr:ext cx="7581900" cy="76200"/>
    <xdr:sp macro="" textlink="">
      <xdr:nvSpPr>
        <xdr:cNvPr id="34" name="Shape 2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559813" y="3741900"/>
          <a:ext cx="7572375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43</xdr:row>
      <xdr:rowOff>47625</xdr:rowOff>
    </xdr:from>
    <xdr:ext cx="4029075" cy="123825"/>
    <xdr:sp macro="" textlink="">
      <xdr:nvSpPr>
        <xdr:cNvPr id="35" name="Shape 2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3331463" y="3722850"/>
          <a:ext cx="4029075" cy="1143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42</xdr:row>
      <xdr:rowOff>47625</xdr:rowOff>
    </xdr:from>
    <xdr:ext cx="4029075" cy="123825"/>
    <xdr:sp macro="" textlink="">
      <xdr:nvSpPr>
        <xdr:cNvPr id="36" name="Shape 2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3331463" y="3722850"/>
          <a:ext cx="4029075" cy="1143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40</xdr:row>
      <xdr:rowOff>47625</xdr:rowOff>
    </xdr:from>
    <xdr:ext cx="895350" cy="85725"/>
    <xdr:sp macro="" textlink="">
      <xdr:nvSpPr>
        <xdr:cNvPr id="37" name="Shape 2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4903088" y="3741900"/>
          <a:ext cx="885825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32</xdr:row>
      <xdr:rowOff>47625</xdr:rowOff>
    </xdr:from>
    <xdr:ext cx="5372100" cy="85725"/>
    <xdr:sp macro="" textlink="">
      <xdr:nvSpPr>
        <xdr:cNvPr id="38" name="Shape 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659950" y="3741900"/>
          <a:ext cx="537210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35</xdr:row>
      <xdr:rowOff>47625</xdr:rowOff>
    </xdr:from>
    <xdr:ext cx="4924425" cy="95250"/>
    <xdr:sp macro="" textlink="">
      <xdr:nvSpPr>
        <xdr:cNvPr id="39" name="Shape 25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2883788" y="3737138"/>
          <a:ext cx="4924425" cy="85725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14</xdr:row>
      <xdr:rowOff>47625</xdr:rowOff>
    </xdr:from>
    <xdr:ext cx="2238375" cy="85725"/>
    <xdr:sp macro="" textlink="">
      <xdr:nvSpPr>
        <xdr:cNvPr id="40" name="Shape 2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4226813" y="3741900"/>
          <a:ext cx="2238375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361950</xdr:colOff>
      <xdr:row>48</xdr:row>
      <xdr:rowOff>47625</xdr:rowOff>
    </xdr:from>
    <xdr:ext cx="219075" cy="85725"/>
    <xdr:sp macro="" textlink="">
      <xdr:nvSpPr>
        <xdr:cNvPr id="41" name="Shape 18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241225" y="3741900"/>
          <a:ext cx="20955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</xdr:row>
      <xdr:rowOff>38100</xdr:rowOff>
    </xdr:from>
    <xdr:ext cx="9848850" cy="85725"/>
    <xdr:sp macro="" textlink="">
      <xdr:nvSpPr>
        <xdr:cNvPr id="42" name="Shape 27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421575" y="3741900"/>
          <a:ext cx="9848850" cy="762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tabSelected="1" zoomScale="70" zoomScaleNormal="70" workbookViewId="0">
      <selection activeCell="A1001" sqref="A1001:XFD1048576"/>
    </sheetView>
  </sheetViews>
  <sheetFormatPr defaultColWidth="0" defaultRowHeight="15" customHeight="1" zeroHeight="1" x14ac:dyDescent="0.25"/>
  <cols>
    <col min="1" max="1" width="7.7109375" customWidth="1"/>
    <col min="2" max="2" width="4.28515625" customWidth="1"/>
    <col min="3" max="3" width="3.7109375" customWidth="1"/>
    <col min="4" max="4" width="14.140625" customWidth="1"/>
    <col min="5" max="5" width="9.85546875" hidden="1" customWidth="1"/>
    <col min="6" max="6" width="4.5703125" hidden="1" customWidth="1"/>
    <col min="7" max="7" width="15.7109375" customWidth="1"/>
    <col min="8" max="8" width="6.85546875" customWidth="1"/>
    <col min="9" max="30" width="6.7109375" customWidth="1"/>
    <col min="31" max="31" width="9.140625" customWidth="1"/>
    <col min="32" max="32" width="6.85546875" customWidth="1"/>
    <col min="33" max="33" width="15" customWidth="1"/>
    <col min="34" max="34" width="8.7109375" customWidth="1"/>
    <col min="35" max="35" width="8.7109375" hidden="1"/>
    <col min="36" max="16384" width="14.42578125" hidden="1"/>
  </cols>
  <sheetData>
    <row r="1" spans="1:35" ht="14.25" customHeight="1" x14ac:dyDescent="0.25">
      <c r="A1" s="141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5"/>
    </row>
    <row r="2" spans="1:35" ht="14.25" customHeight="1" x14ac:dyDescent="0.25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5"/>
    </row>
    <row r="3" spans="1:35" ht="14.25" customHeight="1" x14ac:dyDescent="0.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5"/>
    </row>
    <row r="4" spans="1:35" ht="14.25" customHeight="1" x14ac:dyDescent="0.25">
      <c r="A4" s="7" t="s">
        <v>1</v>
      </c>
      <c r="B4" s="8"/>
      <c r="C4" s="9"/>
      <c r="D4" s="10"/>
      <c r="E4" s="11"/>
      <c r="F4" s="8"/>
      <c r="G4" s="12"/>
      <c r="H4" s="4"/>
      <c r="I4" s="13"/>
      <c r="J4" s="13"/>
      <c r="K4" s="14"/>
      <c r="L4" s="14"/>
      <c r="M4" s="15"/>
      <c r="N4" s="1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5" ht="14.25" customHeight="1" x14ac:dyDescent="0.25">
      <c r="A5" s="16" t="s">
        <v>2</v>
      </c>
      <c r="B5" s="8"/>
      <c r="C5" s="9"/>
      <c r="D5" s="10"/>
      <c r="E5" s="11"/>
      <c r="F5" s="8"/>
      <c r="G5" s="17"/>
      <c r="H5" s="4"/>
      <c r="I5" s="13"/>
      <c r="J5" s="13"/>
      <c r="K5" s="14"/>
      <c r="L5" s="14"/>
      <c r="M5" s="15"/>
      <c r="N5" s="1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5" ht="14.25" customHeight="1" x14ac:dyDescent="0.25">
      <c r="A6" s="18" t="s">
        <v>3</v>
      </c>
      <c r="B6" s="19"/>
      <c r="C6" s="20"/>
      <c r="D6" s="21"/>
      <c r="E6" s="22"/>
      <c r="F6" s="23"/>
      <c r="G6" s="12"/>
      <c r="H6" s="4"/>
      <c r="I6" s="13"/>
      <c r="J6" s="13"/>
      <c r="K6" s="14"/>
      <c r="L6" s="14"/>
      <c r="M6" s="15"/>
      <c r="N6" s="1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5" ht="14.25" customHeight="1" x14ac:dyDescent="0.25">
      <c r="B7" s="1"/>
      <c r="C7" s="1"/>
      <c r="D7" s="2"/>
      <c r="E7" s="3"/>
      <c r="G7" s="1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5" ht="18.75" customHeight="1" x14ac:dyDescent="0.25">
      <c r="A8" s="142" t="s">
        <v>4</v>
      </c>
      <c r="B8" s="126" t="s">
        <v>5</v>
      </c>
      <c r="C8" s="127"/>
      <c r="D8" s="128"/>
      <c r="E8" s="144" t="s">
        <v>6</v>
      </c>
      <c r="F8" s="146" t="s">
        <v>7</v>
      </c>
      <c r="G8" s="147" t="s">
        <v>8</v>
      </c>
      <c r="H8" s="148" t="s">
        <v>9</v>
      </c>
      <c r="I8" s="150" t="s">
        <v>10</v>
      </c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2"/>
      <c r="AE8" s="24"/>
    </row>
    <row r="9" spans="1:35" ht="14.25" customHeight="1" x14ac:dyDescent="0.25">
      <c r="A9" s="143"/>
      <c r="B9" s="129"/>
      <c r="C9" s="130"/>
      <c r="D9" s="131"/>
      <c r="E9" s="145"/>
      <c r="F9" s="145"/>
      <c r="G9" s="129"/>
      <c r="H9" s="149"/>
      <c r="I9" s="25" t="s">
        <v>11</v>
      </c>
      <c r="J9" s="26" t="s">
        <v>12</v>
      </c>
      <c r="K9" s="26" t="s">
        <v>13</v>
      </c>
      <c r="L9" s="26" t="s">
        <v>14</v>
      </c>
      <c r="M9" s="26" t="s">
        <v>15</v>
      </c>
      <c r="N9" s="26" t="s">
        <v>16</v>
      </c>
      <c r="O9" s="26" t="s">
        <v>17</v>
      </c>
      <c r="P9" s="26" t="s">
        <v>18</v>
      </c>
      <c r="Q9" s="26" t="s">
        <v>19</v>
      </c>
      <c r="R9" s="26" t="s">
        <v>20</v>
      </c>
      <c r="S9" s="26" t="s">
        <v>21</v>
      </c>
      <c r="T9" s="26" t="s">
        <v>22</v>
      </c>
      <c r="U9" s="26" t="s">
        <v>23</v>
      </c>
      <c r="V9" s="26" t="s">
        <v>24</v>
      </c>
      <c r="W9" s="26" t="s">
        <v>25</v>
      </c>
      <c r="X9" s="26" t="s">
        <v>26</v>
      </c>
      <c r="Y9" s="26" t="s">
        <v>27</v>
      </c>
      <c r="Z9" s="26" t="s">
        <v>28</v>
      </c>
      <c r="AA9" s="26" t="s">
        <v>29</v>
      </c>
      <c r="AB9" s="27" t="s">
        <v>30</v>
      </c>
      <c r="AC9" s="27" t="s">
        <v>31</v>
      </c>
      <c r="AD9" s="28" t="s">
        <v>32</v>
      </c>
      <c r="AE9" s="29"/>
      <c r="AF9" s="2"/>
      <c r="AG9" s="2"/>
      <c r="AH9" s="2"/>
      <c r="AI9" s="2"/>
    </row>
    <row r="10" spans="1:35" ht="13.5" customHeight="1" x14ac:dyDescent="0.25">
      <c r="A10" s="30">
        <v>1</v>
      </c>
      <c r="B10" s="31" t="s">
        <v>33</v>
      </c>
      <c r="C10" s="32"/>
      <c r="D10" s="33"/>
      <c r="E10" s="34"/>
      <c r="F10" s="35"/>
      <c r="G10" s="36"/>
      <c r="H10" s="37"/>
      <c r="I10" s="38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40"/>
      <c r="AE10" s="24"/>
    </row>
    <row r="11" spans="1:35" ht="13.5" customHeight="1" x14ac:dyDescent="0.25">
      <c r="A11" s="30"/>
      <c r="B11" s="41" t="s">
        <v>34</v>
      </c>
      <c r="C11" s="32"/>
      <c r="D11" s="33"/>
      <c r="E11" s="34"/>
      <c r="F11" s="42"/>
      <c r="G11" s="43">
        <v>89531384.569999993</v>
      </c>
      <c r="H11" s="37">
        <f>G11/$G$61</f>
        <v>4.4476566669033109E-2</v>
      </c>
      <c r="I11" s="44">
        <f t="shared" ref="I11:AD11" si="0">$H$11/22</f>
        <v>2.021662121319687E-3</v>
      </c>
      <c r="J11" s="45">
        <f t="shared" si="0"/>
        <v>2.021662121319687E-3</v>
      </c>
      <c r="K11" s="45">
        <f t="shared" si="0"/>
        <v>2.021662121319687E-3</v>
      </c>
      <c r="L11" s="45">
        <f t="shared" si="0"/>
        <v>2.021662121319687E-3</v>
      </c>
      <c r="M11" s="45">
        <f t="shared" si="0"/>
        <v>2.021662121319687E-3</v>
      </c>
      <c r="N11" s="45">
        <f t="shared" si="0"/>
        <v>2.021662121319687E-3</v>
      </c>
      <c r="O11" s="45">
        <f t="shared" si="0"/>
        <v>2.021662121319687E-3</v>
      </c>
      <c r="P11" s="45">
        <f t="shared" si="0"/>
        <v>2.021662121319687E-3</v>
      </c>
      <c r="Q11" s="45">
        <f t="shared" si="0"/>
        <v>2.021662121319687E-3</v>
      </c>
      <c r="R11" s="45">
        <f t="shared" si="0"/>
        <v>2.021662121319687E-3</v>
      </c>
      <c r="S11" s="45">
        <f t="shared" si="0"/>
        <v>2.021662121319687E-3</v>
      </c>
      <c r="T11" s="45">
        <f t="shared" si="0"/>
        <v>2.021662121319687E-3</v>
      </c>
      <c r="U11" s="45">
        <f t="shared" si="0"/>
        <v>2.021662121319687E-3</v>
      </c>
      <c r="V11" s="45">
        <f t="shared" si="0"/>
        <v>2.021662121319687E-3</v>
      </c>
      <c r="W11" s="45">
        <f t="shared" si="0"/>
        <v>2.021662121319687E-3</v>
      </c>
      <c r="X11" s="45">
        <f t="shared" si="0"/>
        <v>2.021662121319687E-3</v>
      </c>
      <c r="Y11" s="45">
        <f t="shared" si="0"/>
        <v>2.021662121319687E-3</v>
      </c>
      <c r="Z11" s="45">
        <f t="shared" si="0"/>
        <v>2.021662121319687E-3</v>
      </c>
      <c r="AA11" s="45">
        <f t="shared" si="0"/>
        <v>2.021662121319687E-3</v>
      </c>
      <c r="AB11" s="45">
        <f t="shared" si="0"/>
        <v>2.021662121319687E-3</v>
      </c>
      <c r="AC11" s="45">
        <f t="shared" si="0"/>
        <v>2.021662121319687E-3</v>
      </c>
      <c r="AD11" s="46">
        <f t="shared" si="0"/>
        <v>2.021662121319687E-3</v>
      </c>
      <c r="AE11" s="24"/>
      <c r="AG11" s="47">
        <f>SUM(I11:AD11)</f>
        <v>4.4476566669033095E-2</v>
      </c>
      <c r="AH11" s="47">
        <f>H11-AG11</f>
        <v>0</v>
      </c>
    </row>
    <row r="12" spans="1:35" ht="13.5" customHeight="1" x14ac:dyDescent="0.25">
      <c r="A12" s="30">
        <v>2</v>
      </c>
      <c r="B12" s="48" t="s">
        <v>35</v>
      </c>
      <c r="C12" s="49"/>
      <c r="D12" s="50"/>
      <c r="E12" s="51"/>
      <c r="F12" s="52"/>
      <c r="G12" s="53"/>
      <c r="H12" s="37"/>
      <c r="I12" s="44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6"/>
      <c r="AE12" s="24"/>
      <c r="AG12" s="47"/>
      <c r="AH12" s="47"/>
    </row>
    <row r="13" spans="1:35" ht="13.5" customHeight="1" x14ac:dyDescent="0.25">
      <c r="A13" s="54"/>
      <c r="B13" s="36" t="s">
        <v>36</v>
      </c>
      <c r="C13" s="32"/>
      <c r="D13" s="55"/>
      <c r="E13" s="56"/>
      <c r="F13" s="57"/>
      <c r="G13" s="58">
        <v>2748866.42</v>
      </c>
      <c r="H13" s="37">
        <f t="shared" ref="H13:H15" si="1">G13/$G$61</f>
        <v>1.36555623685019E-3</v>
      </c>
      <c r="I13" s="59">
        <f>H13</f>
        <v>1.36555623685019E-3</v>
      </c>
      <c r="J13" s="60"/>
      <c r="K13" s="60"/>
      <c r="L13" s="60"/>
      <c r="M13" s="60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6"/>
      <c r="AE13" s="24"/>
      <c r="AG13" s="47">
        <f t="shared" ref="AG13:AG15" si="2">SUM(I13:AD13)</f>
        <v>1.36555623685019E-3</v>
      </c>
      <c r="AH13" s="47">
        <f t="shared" ref="AH13:AH15" si="3">H13-AG13</f>
        <v>0</v>
      </c>
    </row>
    <row r="14" spans="1:35" ht="13.5" customHeight="1" x14ac:dyDescent="0.25">
      <c r="A14" s="54"/>
      <c r="B14" s="36" t="s">
        <v>37</v>
      </c>
      <c r="C14" s="32"/>
      <c r="D14" s="55"/>
      <c r="E14" s="56"/>
      <c r="F14" s="57"/>
      <c r="G14" s="43">
        <v>504006.62</v>
      </c>
      <c r="H14" s="37">
        <f t="shared" si="1"/>
        <v>2.503757106373993E-4</v>
      </c>
      <c r="I14" s="59"/>
      <c r="J14" s="60"/>
      <c r="K14" s="61">
        <f>H14</f>
        <v>2.503757106373993E-4</v>
      </c>
      <c r="L14" s="60"/>
      <c r="M14" s="60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6"/>
      <c r="AE14" s="24"/>
      <c r="AG14" s="47">
        <f t="shared" si="2"/>
        <v>2.503757106373993E-4</v>
      </c>
      <c r="AH14" s="47">
        <f t="shared" si="3"/>
        <v>0</v>
      </c>
    </row>
    <row r="15" spans="1:35" ht="13.5" customHeight="1" x14ac:dyDescent="0.25">
      <c r="A15" s="54"/>
      <c r="B15" s="36" t="s">
        <v>38</v>
      </c>
      <c r="C15" s="32"/>
      <c r="D15" s="55"/>
      <c r="E15" s="56"/>
      <c r="F15" s="57"/>
      <c r="G15" s="43">
        <v>313918.43</v>
      </c>
      <c r="H15" s="37">
        <f t="shared" si="1"/>
        <v>1.5594547149683607E-4</v>
      </c>
      <c r="I15" s="59"/>
      <c r="J15" s="60"/>
      <c r="K15" s="61"/>
      <c r="L15" s="60"/>
      <c r="M15" s="60">
        <f t="shared" ref="M15:Q15" si="4">$H$15/5</f>
        <v>3.1189094299367213E-5</v>
      </c>
      <c r="N15" s="60">
        <f t="shared" si="4"/>
        <v>3.1189094299367213E-5</v>
      </c>
      <c r="O15" s="60">
        <f t="shared" si="4"/>
        <v>3.1189094299367213E-5</v>
      </c>
      <c r="P15" s="60">
        <f t="shared" si="4"/>
        <v>3.1189094299367213E-5</v>
      </c>
      <c r="Q15" s="60">
        <f t="shared" si="4"/>
        <v>3.1189094299367213E-5</v>
      </c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6"/>
      <c r="AE15" s="24"/>
      <c r="AG15" s="47">
        <f t="shared" si="2"/>
        <v>1.5594547149683607E-4</v>
      </c>
      <c r="AH15" s="47">
        <f t="shared" si="3"/>
        <v>0</v>
      </c>
    </row>
    <row r="16" spans="1:35" ht="13.5" customHeight="1" x14ac:dyDescent="0.25">
      <c r="A16" s="30">
        <v>3</v>
      </c>
      <c r="B16" s="48" t="s">
        <v>39</v>
      </c>
      <c r="C16" s="49"/>
      <c r="D16" s="50"/>
      <c r="E16" s="51"/>
      <c r="F16" s="52"/>
      <c r="G16" s="53"/>
      <c r="H16" s="37"/>
      <c r="I16" s="62"/>
      <c r="J16" s="60"/>
      <c r="K16" s="60"/>
      <c r="L16" s="60"/>
      <c r="M16" s="60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6"/>
      <c r="AE16" s="24"/>
      <c r="AG16" s="47"/>
      <c r="AH16" s="47"/>
    </row>
    <row r="17" spans="1:35" ht="13.5" customHeight="1" x14ac:dyDescent="0.25">
      <c r="A17" s="54"/>
      <c r="B17" s="41" t="s">
        <v>40</v>
      </c>
      <c r="C17" s="63"/>
      <c r="D17" s="33"/>
      <c r="E17" s="34"/>
      <c r="F17" s="64"/>
      <c r="G17" s="58">
        <f>17636439.55+1677386.38+18244591.83</f>
        <v>37558417.759999998</v>
      </c>
      <c r="H17" s="37">
        <f t="shared" ref="H17:H31" si="5">G17/$G$61</f>
        <v>1.8657920677859981E-2</v>
      </c>
      <c r="I17" s="62"/>
      <c r="J17" s="61"/>
      <c r="K17" s="61">
        <f>H17/5*1</f>
        <v>3.7315841355719964E-3</v>
      </c>
      <c r="L17" s="61">
        <f>H17/5*4</f>
        <v>1.4926336542287985E-2</v>
      </c>
      <c r="M17" s="60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6"/>
      <c r="AE17" s="24"/>
      <c r="AG17" s="47">
        <f t="shared" ref="AG17:AG36" si="6">SUM(I17:AD17)</f>
        <v>1.8657920677859981E-2</v>
      </c>
      <c r="AH17" s="47">
        <f t="shared" ref="AH17:AH36" si="7">H17-AG17</f>
        <v>0</v>
      </c>
      <c r="AI17" s="65">
        <f>262327972.07/159842127.36</f>
        <v>1.6411691736257932</v>
      </c>
    </row>
    <row r="18" spans="1:35" ht="13.5" customHeight="1" x14ac:dyDescent="0.25">
      <c r="A18" s="54"/>
      <c r="B18" s="41" t="s">
        <v>41</v>
      </c>
      <c r="C18" s="63"/>
      <c r="D18" s="33"/>
      <c r="E18" s="66"/>
      <c r="F18" s="64"/>
      <c r="G18" s="58">
        <f>5710939.39+1319867.01+6662470.93</f>
        <v>13693277.329999998</v>
      </c>
      <c r="H18" s="37">
        <f t="shared" si="5"/>
        <v>6.8024186715121707E-3</v>
      </c>
      <c r="I18" s="62"/>
      <c r="J18" s="60"/>
      <c r="K18" s="61"/>
      <c r="L18" s="60"/>
      <c r="M18" s="61">
        <f>H18</f>
        <v>6.8024186715121707E-3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6"/>
      <c r="AE18" s="24"/>
      <c r="AG18" s="47">
        <f t="shared" si="6"/>
        <v>6.8024186715121707E-3</v>
      </c>
      <c r="AH18" s="47">
        <f t="shared" si="7"/>
        <v>0</v>
      </c>
    </row>
    <row r="19" spans="1:35" ht="13.5" customHeight="1" x14ac:dyDescent="0.25">
      <c r="A19" s="54"/>
      <c r="B19" s="67" t="s">
        <v>42</v>
      </c>
      <c r="C19" s="1"/>
      <c r="D19" s="68"/>
      <c r="E19" s="3"/>
      <c r="F19" s="64"/>
      <c r="G19" s="58">
        <f>6416496.68+1540754.83+7572112.01</f>
        <v>15529363.52</v>
      </c>
      <c r="H19" s="37">
        <f t="shared" si="5"/>
        <v>7.714532454090592E-3</v>
      </c>
      <c r="I19" s="62"/>
      <c r="J19" s="60"/>
      <c r="K19" s="61"/>
      <c r="L19" s="60"/>
      <c r="M19" s="60">
        <f>H19/2</f>
        <v>3.857266227045296E-3</v>
      </c>
      <c r="N19" s="69">
        <f>H19/2</f>
        <v>3.857266227045296E-3</v>
      </c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6"/>
      <c r="AE19" s="24"/>
      <c r="AG19" s="47">
        <f t="shared" si="6"/>
        <v>7.714532454090592E-3</v>
      </c>
      <c r="AH19" s="47">
        <f t="shared" si="7"/>
        <v>0</v>
      </c>
    </row>
    <row r="20" spans="1:35" ht="13.5" customHeight="1" x14ac:dyDescent="0.25">
      <c r="A20" s="54"/>
      <c r="B20" s="41" t="s">
        <v>43</v>
      </c>
      <c r="C20" s="63"/>
      <c r="D20" s="55"/>
      <c r="E20" s="66"/>
      <c r="F20" s="64"/>
      <c r="G20" s="43">
        <f>4947218.79+1127776.4+10879583.32</f>
        <v>16954578.509999998</v>
      </c>
      <c r="H20" s="37">
        <f t="shared" si="5"/>
        <v>8.4225374718269134E-3</v>
      </c>
      <c r="I20" s="62"/>
      <c r="J20" s="60"/>
      <c r="K20" s="61"/>
      <c r="L20" s="61"/>
      <c r="M20" s="60"/>
      <c r="N20" s="70">
        <f>H20</f>
        <v>8.4225374718269134E-3</v>
      </c>
      <c r="O20" s="69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6"/>
      <c r="AE20" s="24"/>
      <c r="AG20" s="47">
        <f t="shared" si="6"/>
        <v>8.4225374718269134E-3</v>
      </c>
      <c r="AH20" s="47">
        <f t="shared" si="7"/>
        <v>0</v>
      </c>
    </row>
    <row r="21" spans="1:35" ht="13.5" customHeight="1" x14ac:dyDescent="0.25">
      <c r="A21" s="54"/>
      <c r="B21" s="41" t="s">
        <v>44</v>
      </c>
      <c r="C21" s="63"/>
      <c r="D21" s="55"/>
      <c r="E21" s="66"/>
      <c r="F21" s="64"/>
      <c r="G21" s="43">
        <f>2907236.58+932672.87+4167355.82</f>
        <v>8007265.2699999996</v>
      </c>
      <c r="H21" s="37">
        <f t="shared" si="5"/>
        <v>3.9777746019256984E-3</v>
      </c>
      <c r="I21" s="62"/>
      <c r="J21" s="60"/>
      <c r="K21" s="60"/>
      <c r="L21" s="61"/>
      <c r="M21" s="60"/>
      <c r="N21" s="45">
        <f>H21/2</f>
        <v>1.9888873009628492E-3</v>
      </c>
      <c r="O21" s="45">
        <f>H21/2</f>
        <v>1.9888873009628492E-3</v>
      </c>
      <c r="P21" s="69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6"/>
      <c r="AE21" s="24"/>
      <c r="AG21" s="47">
        <f t="shared" si="6"/>
        <v>3.9777746019256984E-3</v>
      </c>
      <c r="AH21" s="47">
        <f t="shared" si="7"/>
        <v>0</v>
      </c>
    </row>
    <row r="22" spans="1:35" ht="13.5" customHeight="1" x14ac:dyDescent="0.25">
      <c r="A22" s="54"/>
      <c r="B22" s="41" t="s">
        <v>45</v>
      </c>
      <c r="C22" s="63"/>
      <c r="D22" s="55"/>
      <c r="E22" s="66"/>
      <c r="F22" s="64"/>
      <c r="G22" s="58">
        <f>3301791.96+915045.83+4967224.76</f>
        <v>9184062.5500000007</v>
      </c>
      <c r="H22" s="37">
        <f t="shared" si="5"/>
        <v>4.5623729852885177E-3</v>
      </c>
      <c r="I22" s="62"/>
      <c r="J22" s="60"/>
      <c r="K22" s="60"/>
      <c r="L22" s="61"/>
      <c r="M22" s="61"/>
      <c r="N22" s="45"/>
      <c r="O22" s="70">
        <f>H22</f>
        <v>4.5623729852885177E-3</v>
      </c>
      <c r="P22" s="69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6"/>
      <c r="AE22" s="24"/>
      <c r="AG22" s="47">
        <f t="shared" si="6"/>
        <v>4.5623729852885177E-3</v>
      </c>
      <c r="AH22" s="47">
        <f t="shared" si="7"/>
        <v>0</v>
      </c>
    </row>
    <row r="23" spans="1:35" ht="13.5" customHeight="1" x14ac:dyDescent="0.25">
      <c r="A23" s="54"/>
      <c r="B23" s="71" t="s">
        <v>46</v>
      </c>
      <c r="C23" s="1"/>
      <c r="D23" s="68"/>
      <c r="E23" s="3"/>
      <c r="F23" s="64"/>
      <c r="G23" s="58">
        <f>3299371.47+913052.05+4698785.17</f>
        <v>8911208.6900000013</v>
      </c>
      <c r="H23" s="37">
        <f t="shared" si="5"/>
        <v>4.4268271880970895E-3</v>
      </c>
      <c r="I23" s="62"/>
      <c r="J23" s="60"/>
      <c r="K23" s="60"/>
      <c r="L23" s="61"/>
      <c r="M23" s="72"/>
      <c r="N23" s="45"/>
      <c r="O23" s="45">
        <f>H23/2</f>
        <v>2.2134135940485447E-3</v>
      </c>
      <c r="P23" s="45">
        <f>H23/2</f>
        <v>2.2134135940485447E-3</v>
      </c>
      <c r="Q23" s="69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6"/>
      <c r="AE23" s="24"/>
      <c r="AG23" s="47">
        <f t="shared" si="6"/>
        <v>4.4268271880970895E-3</v>
      </c>
      <c r="AH23" s="47">
        <f t="shared" si="7"/>
        <v>0</v>
      </c>
      <c r="AI23" s="58"/>
    </row>
    <row r="24" spans="1:35" ht="13.5" customHeight="1" x14ac:dyDescent="0.25">
      <c r="A24" s="54"/>
      <c r="B24" s="41" t="s">
        <v>47</v>
      </c>
      <c r="C24" s="63"/>
      <c r="D24" s="55"/>
      <c r="E24" s="66"/>
      <c r="F24" s="64"/>
      <c r="G24" s="58">
        <f>3334125.62+932313.15+5018387.61</f>
        <v>9284826.3800000008</v>
      </c>
      <c r="H24" s="37">
        <f t="shared" si="5"/>
        <v>4.6124295014961748E-3</v>
      </c>
      <c r="I24" s="62"/>
      <c r="J24" s="60"/>
      <c r="K24" s="60"/>
      <c r="L24" s="60"/>
      <c r="M24" s="61"/>
      <c r="N24" s="61"/>
      <c r="O24" s="45"/>
      <c r="P24" s="70">
        <f>H24</f>
        <v>4.6124295014961748E-3</v>
      </c>
      <c r="Q24" s="69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6"/>
      <c r="AE24" s="24"/>
      <c r="AG24" s="47">
        <f t="shared" si="6"/>
        <v>4.6124295014961748E-3</v>
      </c>
      <c r="AH24" s="47">
        <f t="shared" si="7"/>
        <v>0</v>
      </c>
      <c r="AI24" s="58"/>
    </row>
    <row r="25" spans="1:35" ht="13.5" customHeight="1" x14ac:dyDescent="0.25">
      <c r="A25" s="54"/>
      <c r="B25" s="41" t="s">
        <v>48</v>
      </c>
      <c r="C25" s="63"/>
      <c r="D25" s="55"/>
      <c r="E25" s="66"/>
      <c r="F25" s="64"/>
      <c r="G25" s="58">
        <f>3276685.36+967434.29+4615379.25</f>
        <v>8859498.9000000004</v>
      </c>
      <c r="H25" s="37">
        <f t="shared" si="5"/>
        <v>4.4011392806284121E-3</v>
      </c>
      <c r="I25" s="62"/>
      <c r="J25" s="60"/>
      <c r="K25" s="60"/>
      <c r="L25" s="60"/>
      <c r="M25" s="61"/>
      <c r="N25" s="72"/>
      <c r="O25" s="45"/>
      <c r="P25" s="45">
        <f>H25/2</f>
        <v>2.200569640314206E-3</v>
      </c>
      <c r="Q25" s="45">
        <f>H25/2</f>
        <v>2.200569640314206E-3</v>
      </c>
      <c r="R25" s="69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6"/>
      <c r="AE25" s="24"/>
      <c r="AG25" s="47">
        <f t="shared" si="6"/>
        <v>4.4011392806284121E-3</v>
      </c>
      <c r="AH25" s="47">
        <f t="shared" si="7"/>
        <v>0</v>
      </c>
      <c r="AI25" s="58"/>
    </row>
    <row r="26" spans="1:35" ht="13.5" customHeight="1" x14ac:dyDescent="0.25">
      <c r="A26" s="54"/>
      <c r="B26" s="41" t="s">
        <v>49</v>
      </c>
      <c r="C26" s="63"/>
      <c r="D26" s="55"/>
      <c r="E26" s="66"/>
      <c r="F26" s="64"/>
      <c r="G26" s="58">
        <f>3189142.04+860889.3+4516262.39</f>
        <v>8566293.7300000004</v>
      </c>
      <c r="H26" s="37">
        <f t="shared" si="5"/>
        <v>4.2554835493578396E-3</v>
      </c>
      <c r="I26" s="62"/>
      <c r="J26" s="60"/>
      <c r="K26" s="60"/>
      <c r="L26" s="60"/>
      <c r="M26" s="61"/>
      <c r="N26" s="45"/>
      <c r="O26" s="61"/>
      <c r="P26" s="45"/>
      <c r="Q26" s="70">
        <f>H26</f>
        <v>4.2554835493578396E-3</v>
      </c>
      <c r="R26" s="69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6"/>
      <c r="AE26" s="24"/>
      <c r="AG26" s="47">
        <f t="shared" si="6"/>
        <v>4.2554835493578396E-3</v>
      </c>
      <c r="AH26" s="47">
        <f t="shared" si="7"/>
        <v>0</v>
      </c>
      <c r="AI26" s="58"/>
    </row>
    <row r="27" spans="1:35" ht="13.5" customHeight="1" x14ac:dyDescent="0.25">
      <c r="A27" s="54"/>
      <c r="B27" s="41" t="s">
        <v>50</v>
      </c>
      <c r="C27" s="63"/>
      <c r="D27" s="55"/>
      <c r="E27" s="66"/>
      <c r="F27" s="64"/>
      <c r="G27" s="58">
        <f>41387769.01+7269164.3+59209657.24</f>
        <v>107866590.55</v>
      </c>
      <c r="H27" s="37">
        <f t="shared" si="5"/>
        <v>5.3584959386028759E-2</v>
      </c>
      <c r="I27" s="44"/>
      <c r="J27" s="45"/>
      <c r="K27" s="45"/>
      <c r="L27" s="45"/>
      <c r="M27" s="45"/>
      <c r="N27" s="73"/>
      <c r="O27" s="74"/>
      <c r="P27" s="74"/>
      <c r="Q27" s="74"/>
      <c r="R27" s="74">
        <f t="shared" ref="R27:Z27" si="8">$H$27/9</f>
        <v>5.9538843762254176E-3</v>
      </c>
      <c r="S27" s="74">
        <f t="shared" si="8"/>
        <v>5.9538843762254176E-3</v>
      </c>
      <c r="T27" s="74">
        <f t="shared" si="8"/>
        <v>5.9538843762254176E-3</v>
      </c>
      <c r="U27" s="74">
        <f t="shared" si="8"/>
        <v>5.9538843762254176E-3</v>
      </c>
      <c r="V27" s="74">
        <f t="shared" si="8"/>
        <v>5.9538843762254176E-3</v>
      </c>
      <c r="W27" s="74">
        <f t="shared" si="8"/>
        <v>5.9538843762254176E-3</v>
      </c>
      <c r="X27" s="74">
        <f t="shared" si="8"/>
        <v>5.9538843762254176E-3</v>
      </c>
      <c r="Y27" s="74">
        <f t="shared" si="8"/>
        <v>5.9538843762254176E-3</v>
      </c>
      <c r="Z27" s="74">
        <f t="shared" si="8"/>
        <v>5.9538843762254176E-3</v>
      </c>
      <c r="AA27" s="45"/>
      <c r="AB27" s="45"/>
      <c r="AC27" s="45"/>
      <c r="AD27" s="46"/>
      <c r="AE27" s="24"/>
      <c r="AG27" s="47">
        <f t="shared" si="6"/>
        <v>5.3584959386028759E-2</v>
      </c>
      <c r="AH27" s="47">
        <f t="shared" si="7"/>
        <v>0</v>
      </c>
      <c r="AI27" s="58"/>
    </row>
    <row r="28" spans="1:35" ht="13.5" customHeight="1" x14ac:dyDescent="0.25">
      <c r="A28" s="54"/>
      <c r="B28" s="41" t="s">
        <v>51</v>
      </c>
      <c r="C28" s="63"/>
      <c r="D28" s="75"/>
      <c r="E28" s="66"/>
      <c r="F28" s="64"/>
      <c r="G28" s="58">
        <f>2130718.82+312425.49+2964486.15+0.03</f>
        <v>5407630.4899999993</v>
      </c>
      <c r="H28" s="37">
        <f t="shared" si="5"/>
        <v>2.686352268147227E-3</v>
      </c>
      <c r="I28" s="44"/>
      <c r="J28" s="45"/>
      <c r="K28" s="45"/>
      <c r="L28" s="45"/>
      <c r="M28" s="45"/>
      <c r="N28" s="45"/>
      <c r="O28" s="45"/>
      <c r="P28" s="45"/>
      <c r="Q28" s="45"/>
      <c r="R28" s="45"/>
      <c r="S28" s="69"/>
      <c r="T28" s="69"/>
      <c r="U28" s="45"/>
      <c r="V28" s="45"/>
      <c r="W28" s="45"/>
      <c r="X28" s="61"/>
      <c r="Y28" s="45"/>
      <c r="Z28" s="45"/>
      <c r="AA28" s="70">
        <f t="shared" ref="AA28:AA29" si="9">H28</f>
        <v>2.686352268147227E-3</v>
      </c>
      <c r="AB28" s="45"/>
      <c r="AC28" s="45"/>
      <c r="AD28" s="46"/>
      <c r="AE28" s="24"/>
      <c r="AG28" s="47">
        <f t="shared" si="6"/>
        <v>2.686352268147227E-3</v>
      </c>
      <c r="AH28" s="47">
        <f t="shared" si="7"/>
        <v>0</v>
      </c>
      <c r="AI28" s="58"/>
    </row>
    <row r="29" spans="1:35" ht="13.5" customHeight="1" x14ac:dyDescent="0.25">
      <c r="A29" s="54"/>
      <c r="B29" s="41" t="s">
        <v>52</v>
      </c>
      <c r="C29" s="63"/>
      <c r="D29" s="75"/>
      <c r="E29" s="66"/>
      <c r="F29" s="64"/>
      <c r="G29" s="58">
        <f>2456557.23+644988.01+3465956.59</f>
        <v>6567501.8300000001</v>
      </c>
      <c r="H29" s="37">
        <f t="shared" si="5"/>
        <v>3.2625423408102665E-3</v>
      </c>
      <c r="I29" s="44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69"/>
      <c r="U29" s="45"/>
      <c r="V29" s="45"/>
      <c r="W29" s="45"/>
      <c r="X29" s="45"/>
      <c r="Y29" s="61"/>
      <c r="Z29" s="45"/>
      <c r="AA29" s="70">
        <f t="shared" si="9"/>
        <v>3.2625423408102665E-3</v>
      </c>
      <c r="AB29" s="45"/>
      <c r="AC29" s="45"/>
      <c r="AD29" s="46"/>
      <c r="AE29" s="24"/>
      <c r="AG29" s="47">
        <f t="shared" si="6"/>
        <v>3.2625423408102665E-3</v>
      </c>
      <c r="AH29" s="47">
        <f t="shared" si="7"/>
        <v>0</v>
      </c>
      <c r="AI29" s="58"/>
    </row>
    <row r="30" spans="1:35" ht="13.5" customHeight="1" x14ac:dyDescent="0.25">
      <c r="A30" s="54"/>
      <c r="B30" s="41" t="s">
        <v>53</v>
      </c>
      <c r="C30" s="63"/>
      <c r="D30" s="33"/>
      <c r="E30" s="56"/>
      <c r="F30" s="64"/>
      <c r="G30" s="58">
        <f>1357316.06+562278.81+1665585.99</f>
        <v>3585180.8600000003</v>
      </c>
      <c r="H30" s="37">
        <f t="shared" si="5"/>
        <v>1.7810127287338059E-3</v>
      </c>
      <c r="I30" s="44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69"/>
      <c r="U30" s="61"/>
      <c r="V30" s="45"/>
      <c r="W30" s="45"/>
      <c r="X30" s="45"/>
      <c r="Y30" s="61"/>
      <c r="Z30" s="45"/>
      <c r="AA30" s="45"/>
      <c r="AB30" s="70">
        <f>H30</f>
        <v>1.7810127287338059E-3</v>
      </c>
      <c r="AC30" s="45"/>
      <c r="AD30" s="46"/>
      <c r="AE30" s="24"/>
      <c r="AG30" s="47">
        <f t="shared" si="6"/>
        <v>1.7810127287338059E-3</v>
      </c>
      <c r="AH30" s="47">
        <f t="shared" si="7"/>
        <v>0</v>
      </c>
      <c r="AI30" s="76"/>
    </row>
    <row r="31" spans="1:35" ht="13.5" customHeight="1" x14ac:dyDescent="0.25">
      <c r="A31" s="54"/>
      <c r="B31" s="67" t="s">
        <v>54</v>
      </c>
      <c r="C31" s="63"/>
      <c r="D31" s="77"/>
      <c r="E31" s="78"/>
      <c r="F31" s="64"/>
      <c r="G31" s="58">
        <f>1134036.12+65032.84+1153206.74</f>
        <v>2352275.7000000002</v>
      </c>
      <c r="H31" s="37">
        <f t="shared" si="5"/>
        <v>1.1685415957484566E-3</v>
      </c>
      <c r="I31" s="44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69"/>
      <c r="U31" s="45"/>
      <c r="V31" s="45"/>
      <c r="W31" s="45"/>
      <c r="X31" s="45"/>
      <c r="Y31" s="61"/>
      <c r="Z31" s="45"/>
      <c r="AA31" s="45"/>
      <c r="AB31" s="70">
        <f t="shared" ref="AB31:AC31" si="10">$H$31/2</f>
        <v>5.8427079787422829E-4</v>
      </c>
      <c r="AC31" s="70">
        <f t="shared" si="10"/>
        <v>5.8427079787422829E-4</v>
      </c>
      <c r="AD31" s="46"/>
      <c r="AE31" s="24"/>
      <c r="AG31" s="47">
        <f t="shared" si="6"/>
        <v>1.1685415957484566E-3</v>
      </c>
      <c r="AH31" s="47">
        <f t="shared" si="7"/>
        <v>0</v>
      </c>
      <c r="AI31" s="58"/>
    </row>
    <row r="32" spans="1:35" ht="13.5" customHeight="1" x14ac:dyDescent="0.25">
      <c r="A32" s="30">
        <v>4</v>
      </c>
      <c r="B32" s="48" t="s">
        <v>55</v>
      </c>
      <c r="C32" s="49"/>
      <c r="D32" s="77"/>
      <c r="E32" s="78"/>
      <c r="F32" s="64"/>
      <c r="G32" s="58"/>
      <c r="H32" s="37"/>
      <c r="I32" s="44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69"/>
      <c r="U32" s="45"/>
      <c r="V32" s="45"/>
      <c r="W32" s="45"/>
      <c r="X32" s="45"/>
      <c r="Y32" s="61"/>
      <c r="Z32" s="45"/>
      <c r="AA32" s="45"/>
      <c r="AB32" s="45"/>
      <c r="AC32" s="45"/>
      <c r="AD32" s="46"/>
      <c r="AE32" s="24"/>
      <c r="AG32" s="47">
        <f t="shared" si="6"/>
        <v>0</v>
      </c>
      <c r="AH32" s="47">
        <f t="shared" si="7"/>
        <v>0</v>
      </c>
    </row>
    <row r="33" spans="1:34" ht="13.5" customHeight="1" x14ac:dyDescent="0.25">
      <c r="A33" s="30"/>
      <c r="B33" s="79" t="s">
        <v>56</v>
      </c>
      <c r="C33" s="49"/>
      <c r="D33" s="50"/>
      <c r="E33" s="56"/>
      <c r="F33" s="57"/>
      <c r="G33" s="58">
        <v>21163772.960000001</v>
      </c>
      <c r="H33" s="37">
        <f>G33/$G$61</f>
        <v>1.0513541855122014E-2</v>
      </c>
      <c r="I33" s="44"/>
      <c r="J33" s="45"/>
      <c r="K33" s="45"/>
      <c r="L33" s="45"/>
      <c r="M33" s="45"/>
      <c r="N33" s="45"/>
      <c r="O33" s="45"/>
      <c r="P33" s="45"/>
      <c r="Q33" s="45"/>
      <c r="R33" s="45">
        <f t="shared" ref="R33:AC33" si="11">$H$33/12</f>
        <v>8.7612848792683457E-4</v>
      </c>
      <c r="S33" s="45">
        <f t="shared" si="11"/>
        <v>8.7612848792683457E-4</v>
      </c>
      <c r="T33" s="45">
        <f t="shared" si="11"/>
        <v>8.7612848792683457E-4</v>
      </c>
      <c r="U33" s="45">
        <f t="shared" si="11"/>
        <v>8.7612848792683457E-4</v>
      </c>
      <c r="V33" s="45">
        <f t="shared" si="11"/>
        <v>8.7612848792683457E-4</v>
      </c>
      <c r="W33" s="45">
        <f t="shared" si="11"/>
        <v>8.7612848792683457E-4</v>
      </c>
      <c r="X33" s="45">
        <f t="shared" si="11"/>
        <v>8.7612848792683457E-4</v>
      </c>
      <c r="Y33" s="45">
        <f t="shared" si="11"/>
        <v>8.7612848792683457E-4</v>
      </c>
      <c r="Z33" s="45">
        <f t="shared" si="11"/>
        <v>8.7612848792683457E-4</v>
      </c>
      <c r="AA33" s="45">
        <f t="shared" si="11"/>
        <v>8.7612848792683457E-4</v>
      </c>
      <c r="AB33" s="45">
        <f t="shared" si="11"/>
        <v>8.7612848792683457E-4</v>
      </c>
      <c r="AC33" s="45">
        <f t="shared" si="11"/>
        <v>8.7612848792683457E-4</v>
      </c>
      <c r="AD33" s="46"/>
      <c r="AE33" s="24"/>
      <c r="AG33" s="47">
        <f t="shared" si="6"/>
        <v>1.0513541855122014E-2</v>
      </c>
      <c r="AH33" s="47">
        <f t="shared" si="7"/>
        <v>0</v>
      </c>
    </row>
    <row r="34" spans="1:34" ht="13.5" customHeight="1" x14ac:dyDescent="0.25">
      <c r="A34" s="30">
        <v>5</v>
      </c>
      <c r="B34" s="80" t="s">
        <v>57</v>
      </c>
      <c r="C34" s="63"/>
      <c r="D34" s="77"/>
      <c r="E34" s="78"/>
      <c r="F34" s="64"/>
      <c r="G34" s="58"/>
      <c r="H34" s="37"/>
      <c r="I34" s="44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69"/>
      <c r="U34" s="70"/>
      <c r="V34" s="45"/>
      <c r="W34" s="45"/>
      <c r="X34" s="45"/>
      <c r="Y34" s="45"/>
      <c r="Z34" s="45"/>
      <c r="AA34" s="45"/>
      <c r="AB34" s="45"/>
      <c r="AC34" s="45"/>
      <c r="AD34" s="46"/>
      <c r="AE34" s="24"/>
      <c r="AG34" s="47">
        <f t="shared" si="6"/>
        <v>0</v>
      </c>
      <c r="AH34" s="47">
        <f t="shared" si="7"/>
        <v>0</v>
      </c>
    </row>
    <row r="35" spans="1:34" ht="13.5" customHeight="1" x14ac:dyDescent="0.25">
      <c r="A35" s="81"/>
      <c r="B35" s="79" t="s">
        <v>58</v>
      </c>
      <c r="C35" s="1"/>
      <c r="D35" s="82"/>
      <c r="E35" s="78"/>
      <c r="F35" s="64"/>
      <c r="G35" s="58">
        <v>1050019262.13</v>
      </c>
      <c r="H35" s="37">
        <f t="shared" ref="H35:H36" si="12">G35/$G$61</f>
        <v>0.52161878139369755</v>
      </c>
      <c r="I35" s="44"/>
      <c r="J35" s="61"/>
      <c r="K35" s="61"/>
      <c r="L35" s="61"/>
      <c r="M35" s="61">
        <f t="shared" ref="M35:AB35" si="13">$H$35/16</f>
        <v>3.2601173837106097E-2</v>
      </c>
      <c r="N35" s="61">
        <f t="shared" si="13"/>
        <v>3.2601173837106097E-2</v>
      </c>
      <c r="O35" s="61">
        <f t="shared" si="13"/>
        <v>3.2601173837106097E-2</v>
      </c>
      <c r="P35" s="61">
        <f t="shared" si="13"/>
        <v>3.2601173837106097E-2</v>
      </c>
      <c r="Q35" s="61">
        <f t="shared" si="13"/>
        <v>3.2601173837106097E-2</v>
      </c>
      <c r="R35" s="61">
        <f t="shared" si="13"/>
        <v>3.2601173837106097E-2</v>
      </c>
      <c r="S35" s="61">
        <f t="shared" si="13"/>
        <v>3.2601173837106097E-2</v>
      </c>
      <c r="T35" s="61">
        <f t="shared" si="13"/>
        <v>3.2601173837106097E-2</v>
      </c>
      <c r="U35" s="61">
        <f t="shared" si="13"/>
        <v>3.2601173837106097E-2</v>
      </c>
      <c r="V35" s="61">
        <f t="shared" si="13"/>
        <v>3.2601173837106097E-2</v>
      </c>
      <c r="W35" s="61">
        <f t="shared" si="13"/>
        <v>3.2601173837106097E-2</v>
      </c>
      <c r="X35" s="61">
        <f t="shared" si="13"/>
        <v>3.2601173837106097E-2</v>
      </c>
      <c r="Y35" s="61">
        <f t="shared" si="13"/>
        <v>3.2601173837106097E-2</v>
      </c>
      <c r="Z35" s="61">
        <f t="shared" si="13"/>
        <v>3.2601173837106097E-2</v>
      </c>
      <c r="AA35" s="61">
        <f t="shared" si="13"/>
        <v>3.2601173837106097E-2</v>
      </c>
      <c r="AB35" s="61">
        <f t="shared" si="13"/>
        <v>3.2601173837106097E-2</v>
      </c>
      <c r="AC35" s="45"/>
      <c r="AD35" s="46"/>
      <c r="AE35" s="24"/>
      <c r="AG35" s="47">
        <f t="shared" si="6"/>
        <v>0.52161878139369755</v>
      </c>
      <c r="AH35" s="47">
        <f t="shared" si="7"/>
        <v>0</v>
      </c>
    </row>
    <row r="36" spans="1:34" ht="13.5" customHeight="1" x14ac:dyDescent="0.25">
      <c r="A36" s="81"/>
      <c r="B36" s="36" t="s">
        <v>59</v>
      </c>
      <c r="C36" s="63"/>
      <c r="D36" s="55"/>
      <c r="E36" s="56"/>
      <c r="F36" s="57"/>
      <c r="G36" s="58">
        <v>6465536.6399999997</v>
      </c>
      <c r="H36" s="37">
        <f t="shared" si="12"/>
        <v>3.2118890241801643E-3</v>
      </c>
      <c r="I36" s="44"/>
      <c r="J36" s="45"/>
      <c r="K36" s="45"/>
      <c r="L36" s="45"/>
      <c r="M36" s="45"/>
      <c r="N36" s="45"/>
      <c r="O36" s="45"/>
      <c r="P36" s="45"/>
      <c r="Q36" s="45"/>
      <c r="R36" s="45"/>
      <c r="S36" s="45">
        <f t="shared" ref="S36:AC36" si="14">$H$36/11</f>
        <v>2.9198991128910585E-4</v>
      </c>
      <c r="T36" s="45">
        <f t="shared" si="14"/>
        <v>2.9198991128910585E-4</v>
      </c>
      <c r="U36" s="45">
        <f t="shared" si="14"/>
        <v>2.9198991128910585E-4</v>
      </c>
      <c r="V36" s="45">
        <f t="shared" si="14"/>
        <v>2.9198991128910585E-4</v>
      </c>
      <c r="W36" s="45">
        <f t="shared" si="14"/>
        <v>2.9198991128910585E-4</v>
      </c>
      <c r="X36" s="45">
        <f t="shared" si="14"/>
        <v>2.9198991128910585E-4</v>
      </c>
      <c r="Y36" s="45">
        <f t="shared" si="14"/>
        <v>2.9198991128910585E-4</v>
      </c>
      <c r="Z36" s="45">
        <f t="shared" si="14"/>
        <v>2.9198991128910585E-4</v>
      </c>
      <c r="AA36" s="45">
        <f t="shared" si="14"/>
        <v>2.9198991128910585E-4</v>
      </c>
      <c r="AB36" s="45">
        <f t="shared" si="14"/>
        <v>2.9198991128910585E-4</v>
      </c>
      <c r="AC36" s="45">
        <f t="shared" si="14"/>
        <v>2.9198991128910585E-4</v>
      </c>
      <c r="AD36" s="46"/>
      <c r="AE36" s="24"/>
      <c r="AG36" s="47">
        <f t="shared" si="6"/>
        <v>3.2118890241801638E-3</v>
      </c>
      <c r="AH36" s="47">
        <f t="shared" si="7"/>
        <v>0</v>
      </c>
    </row>
    <row r="37" spans="1:34" ht="13.5" customHeight="1" x14ac:dyDescent="0.25">
      <c r="A37" s="30">
        <v>7</v>
      </c>
      <c r="B37" s="48" t="s">
        <v>60</v>
      </c>
      <c r="C37" s="49"/>
      <c r="D37" s="50"/>
      <c r="E37" s="83"/>
      <c r="F37" s="52"/>
      <c r="G37" s="53"/>
      <c r="H37" s="37"/>
      <c r="I37" s="44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6"/>
      <c r="AE37" s="24"/>
      <c r="AG37" s="47"/>
      <c r="AH37" s="47"/>
    </row>
    <row r="38" spans="1:34" ht="13.5" customHeight="1" x14ac:dyDescent="0.25">
      <c r="A38" s="84"/>
      <c r="B38" s="36" t="s">
        <v>61</v>
      </c>
      <c r="C38" s="63"/>
      <c r="D38" s="55"/>
      <c r="E38" s="56"/>
      <c r="F38" s="57"/>
      <c r="G38" s="58">
        <v>53881702.200000003</v>
      </c>
      <c r="H38" s="37">
        <f t="shared" ref="H38:H41" si="15">G38/$G$61</f>
        <v>2.6766849766135456E-2</v>
      </c>
      <c r="I38" s="44"/>
      <c r="J38" s="45"/>
      <c r="K38" s="45"/>
      <c r="L38" s="45"/>
      <c r="M38" s="45"/>
      <c r="N38" s="45">
        <f t="shared" ref="N38:W38" si="16">$H$38/10</f>
        <v>2.6766849766135456E-3</v>
      </c>
      <c r="O38" s="45">
        <f t="shared" si="16"/>
        <v>2.6766849766135456E-3</v>
      </c>
      <c r="P38" s="45">
        <f t="shared" si="16"/>
        <v>2.6766849766135456E-3</v>
      </c>
      <c r="Q38" s="45">
        <f t="shared" si="16"/>
        <v>2.6766849766135456E-3</v>
      </c>
      <c r="R38" s="45">
        <f t="shared" si="16"/>
        <v>2.6766849766135456E-3</v>
      </c>
      <c r="S38" s="45">
        <f t="shared" si="16"/>
        <v>2.6766849766135456E-3</v>
      </c>
      <c r="T38" s="45">
        <f t="shared" si="16"/>
        <v>2.6766849766135456E-3</v>
      </c>
      <c r="U38" s="45">
        <f t="shared" si="16"/>
        <v>2.6766849766135456E-3</v>
      </c>
      <c r="V38" s="45">
        <f t="shared" si="16"/>
        <v>2.6766849766135456E-3</v>
      </c>
      <c r="W38" s="45">
        <f t="shared" si="16"/>
        <v>2.6766849766135456E-3</v>
      </c>
      <c r="X38" s="45"/>
      <c r="Y38" s="45"/>
      <c r="Z38" s="45"/>
      <c r="AA38" s="45"/>
      <c r="AB38" s="45"/>
      <c r="AC38" s="45"/>
      <c r="AD38" s="46"/>
      <c r="AE38" s="24"/>
      <c r="AG38" s="47">
        <f t="shared" ref="AG38:AG41" si="17">SUM(I38:AD38)</f>
        <v>2.6766849766135456E-2</v>
      </c>
      <c r="AH38" s="47">
        <f t="shared" ref="AH38:AH41" si="18">H38-AG38</f>
        <v>0</v>
      </c>
    </row>
    <row r="39" spans="1:34" ht="13.5" customHeight="1" x14ac:dyDescent="0.25">
      <c r="A39" s="84"/>
      <c r="B39" s="36" t="s">
        <v>62</v>
      </c>
      <c r="C39" s="63"/>
      <c r="D39" s="55"/>
      <c r="E39" s="55"/>
      <c r="F39" s="57"/>
      <c r="G39" s="58">
        <v>4573556.78</v>
      </c>
      <c r="H39" s="37">
        <f t="shared" si="15"/>
        <v>2.2720089052262762E-3</v>
      </c>
      <c r="I39" s="44"/>
      <c r="J39" s="45"/>
      <c r="K39" s="45"/>
      <c r="L39" s="45"/>
      <c r="M39" s="45"/>
      <c r="N39" s="45"/>
      <c r="O39" s="45"/>
      <c r="P39" s="45">
        <f t="shared" ref="P39:Y39" si="19">$H$39/10</f>
        <v>2.2720089052262761E-4</v>
      </c>
      <c r="Q39" s="45">
        <f t="shared" si="19"/>
        <v>2.2720089052262761E-4</v>
      </c>
      <c r="R39" s="45">
        <f t="shared" si="19"/>
        <v>2.2720089052262761E-4</v>
      </c>
      <c r="S39" s="45">
        <f t="shared" si="19"/>
        <v>2.2720089052262761E-4</v>
      </c>
      <c r="T39" s="45">
        <f t="shared" si="19"/>
        <v>2.2720089052262761E-4</v>
      </c>
      <c r="U39" s="45">
        <f t="shared" si="19"/>
        <v>2.2720089052262761E-4</v>
      </c>
      <c r="V39" s="45">
        <f t="shared" si="19"/>
        <v>2.2720089052262761E-4</v>
      </c>
      <c r="W39" s="45">
        <f t="shared" si="19"/>
        <v>2.2720089052262761E-4</v>
      </c>
      <c r="X39" s="45">
        <f t="shared" si="19"/>
        <v>2.2720089052262761E-4</v>
      </c>
      <c r="Y39" s="45">
        <f t="shared" si="19"/>
        <v>2.2720089052262761E-4</v>
      </c>
      <c r="Z39" s="45"/>
      <c r="AA39" s="45"/>
      <c r="AB39" s="45"/>
      <c r="AC39" s="45"/>
      <c r="AD39" s="46"/>
      <c r="AE39" s="24"/>
      <c r="AG39" s="47">
        <f t="shared" si="17"/>
        <v>2.2720089052262762E-3</v>
      </c>
      <c r="AH39" s="47">
        <f t="shared" si="18"/>
        <v>0</v>
      </c>
    </row>
    <row r="40" spans="1:34" ht="13.5" customHeight="1" x14ac:dyDescent="0.25">
      <c r="A40" s="84"/>
      <c r="B40" s="36" t="s">
        <v>63</v>
      </c>
      <c r="C40" s="63"/>
      <c r="D40" s="55"/>
      <c r="E40" s="56"/>
      <c r="F40" s="57"/>
      <c r="G40" s="58">
        <v>8918328.6300000008</v>
      </c>
      <c r="H40" s="37">
        <f t="shared" si="15"/>
        <v>4.4303641655224968E-3</v>
      </c>
      <c r="I40" s="44"/>
      <c r="J40" s="45"/>
      <c r="K40" s="45"/>
      <c r="L40" s="45"/>
      <c r="M40" s="45"/>
      <c r="N40" s="45"/>
      <c r="O40" s="45"/>
      <c r="P40" s="45">
        <f t="shared" ref="P40:Z40" si="20">$H$40/11</f>
        <v>4.0276037868386335E-4</v>
      </c>
      <c r="Q40" s="45">
        <f t="shared" si="20"/>
        <v>4.0276037868386335E-4</v>
      </c>
      <c r="R40" s="45">
        <f t="shared" si="20"/>
        <v>4.0276037868386335E-4</v>
      </c>
      <c r="S40" s="45">
        <f t="shared" si="20"/>
        <v>4.0276037868386335E-4</v>
      </c>
      <c r="T40" s="45">
        <f t="shared" si="20"/>
        <v>4.0276037868386335E-4</v>
      </c>
      <c r="U40" s="45">
        <f t="shared" si="20"/>
        <v>4.0276037868386335E-4</v>
      </c>
      <c r="V40" s="45">
        <f t="shared" si="20"/>
        <v>4.0276037868386335E-4</v>
      </c>
      <c r="W40" s="45">
        <f t="shared" si="20"/>
        <v>4.0276037868386335E-4</v>
      </c>
      <c r="X40" s="45">
        <f t="shared" si="20"/>
        <v>4.0276037868386335E-4</v>
      </c>
      <c r="Y40" s="45">
        <f t="shared" si="20"/>
        <v>4.0276037868386335E-4</v>
      </c>
      <c r="Z40" s="45">
        <f t="shared" si="20"/>
        <v>4.0276037868386335E-4</v>
      </c>
      <c r="AA40" s="45"/>
      <c r="AB40" s="45"/>
      <c r="AC40" s="45"/>
      <c r="AD40" s="46"/>
      <c r="AE40" s="24"/>
      <c r="AG40" s="47">
        <f t="shared" si="17"/>
        <v>4.4303641655224959E-3</v>
      </c>
      <c r="AH40" s="47">
        <f t="shared" si="18"/>
        <v>0</v>
      </c>
    </row>
    <row r="41" spans="1:34" ht="13.5" customHeight="1" x14ac:dyDescent="0.25">
      <c r="A41" s="84"/>
      <c r="B41" s="36" t="s">
        <v>64</v>
      </c>
      <c r="C41" s="63"/>
      <c r="D41" s="55"/>
      <c r="E41" s="56"/>
      <c r="F41" s="57"/>
      <c r="G41" s="58">
        <v>2207470.7200000002</v>
      </c>
      <c r="H41" s="37">
        <f t="shared" si="15"/>
        <v>1.096606727568879E-3</v>
      </c>
      <c r="I41" s="44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>
        <f t="shared" ref="Z41:AA41" si="21">$H$41/2</f>
        <v>5.4830336378443951E-4</v>
      </c>
      <c r="AA41" s="45">
        <f t="shared" si="21"/>
        <v>5.4830336378443951E-4</v>
      </c>
      <c r="AB41" s="45"/>
      <c r="AC41" s="45"/>
      <c r="AD41" s="46"/>
      <c r="AE41" s="24"/>
      <c r="AG41" s="47">
        <f t="shared" si="17"/>
        <v>1.096606727568879E-3</v>
      </c>
      <c r="AH41" s="47">
        <f t="shared" si="18"/>
        <v>0</v>
      </c>
    </row>
    <row r="42" spans="1:34" ht="13.5" customHeight="1" x14ac:dyDescent="0.25">
      <c r="A42" s="85">
        <v>8</v>
      </c>
      <c r="B42" s="48" t="s">
        <v>65</v>
      </c>
      <c r="C42" s="49"/>
      <c r="D42" s="50"/>
      <c r="E42" s="56"/>
      <c r="F42" s="57"/>
      <c r="G42" s="58"/>
      <c r="H42" s="37"/>
      <c r="I42" s="44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6"/>
      <c r="AE42" s="24"/>
      <c r="AG42" s="47"/>
      <c r="AH42" s="47"/>
    </row>
    <row r="43" spans="1:34" ht="13.5" customHeight="1" x14ac:dyDescent="0.25">
      <c r="A43" s="85"/>
      <c r="B43" s="36" t="s">
        <v>66</v>
      </c>
      <c r="C43" s="49"/>
      <c r="D43" s="50"/>
      <c r="E43" s="56"/>
      <c r="F43" s="57"/>
      <c r="G43" s="58">
        <v>3390975.65</v>
      </c>
      <c r="H43" s="37">
        <f t="shared" ref="H43:H44" si="22">G43/$G$61</f>
        <v>1.6845372747740237E-3</v>
      </c>
      <c r="I43" s="44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>
        <f t="shared" ref="U43:AC43" si="23">$H$43/9</f>
        <v>1.8717080830822486E-4</v>
      </c>
      <c r="V43" s="45">
        <f t="shared" si="23"/>
        <v>1.8717080830822486E-4</v>
      </c>
      <c r="W43" s="45">
        <f t="shared" si="23"/>
        <v>1.8717080830822486E-4</v>
      </c>
      <c r="X43" s="45">
        <f t="shared" si="23"/>
        <v>1.8717080830822486E-4</v>
      </c>
      <c r="Y43" s="45">
        <f t="shared" si="23"/>
        <v>1.8717080830822486E-4</v>
      </c>
      <c r="Z43" s="45">
        <f t="shared" si="23"/>
        <v>1.8717080830822486E-4</v>
      </c>
      <c r="AA43" s="45">
        <f t="shared" si="23"/>
        <v>1.8717080830822486E-4</v>
      </c>
      <c r="AB43" s="45">
        <f t="shared" si="23"/>
        <v>1.8717080830822486E-4</v>
      </c>
      <c r="AC43" s="45">
        <f t="shared" si="23"/>
        <v>1.8717080830822486E-4</v>
      </c>
      <c r="AD43" s="46"/>
      <c r="AE43" s="24"/>
      <c r="AG43" s="47">
        <f t="shared" ref="AG43:AG44" si="24">SUM(I43:AD43)</f>
        <v>1.6845372747740235E-3</v>
      </c>
      <c r="AH43" s="47">
        <f t="shared" ref="AH43:AH44" si="25">H43-AG43</f>
        <v>0</v>
      </c>
    </row>
    <row r="44" spans="1:34" ht="13.5" customHeight="1" x14ac:dyDescent="0.25">
      <c r="A44" s="85"/>
      <c r="B44" s="36" t="s">
        <v>67</v>
      </c>
      <c r="C44" s="63"/>
      <c r="D44" s="55"/>
      <c r="E44" s="56"/>
      <c r="F44" s="57"/>
      <c r="G44" s="58">
        <v>9587230.0800000001</v>
      </c>
      <c r="H44" s="37">
        <f t="shared" si="22"/>
        <v>4.7626547927569892E-3</v>
      </c>
      <c r="I44" s="44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>
        <f t="shared" ref="U44:AC44" si="26">$H$44/9</f>
        <v>5.2918386586188774E-4</v>
      </c>
      <c r="V44" s="45">
        <f t="shared" si="26"/>
        <v>5.2918386586188774E-4</v>
      </c>
      <c r="W44" s="45">
        <f t="shared" si="26"/>
        <v>5.2918386586188774E-4</v>
      </c>
      <c r="X44" s="45">
        <f t="shared" si="26"/>
        <v>5.2918386586188774E-4</v>
      </c>
      <c r="Y44" s="45">
        <f t="shared" si="26"/>
        <v>5.2918386586188774E-4</v>
      </c>
      <c r="Z44" s="45">
        <f t="shared" si="26"/>
        <v>5.2918386586188774E-4</v>
      </c>
      <c r="AA44" s="45">
        <f t="shared" si="26"/>
        <v>5.2918386586188774E-4</v>
      </c>
      <c r="AB44" s="45">
        <f t="shared" si="26"/>
        <v>5.2918386586188774E-4</v>
      </c>
      <c r="AC44" s="45">
        <f t="shared" si="26"/>
        <v>5.2918386586188774E-4</v>
      </c>
      <c r="AD44" s="46"/>
      <c r="AE44" s="24"/>
      <c r="AG44" s="47">
        <f t="shared" si="24"/>
        <v>4.7626547927569901E-3</v>
      </c>
      <c r="AH44" s="47">
        <f t="shared" si="25"/>
        <v>0</v>
      </c>
    </row>
    <row r="45" spans="1:34" ht="13.5" customHeight="1" x14ac:dyDescent="0.25">
      <c r="A45" s="85">
        <v>9</v>
      </c>
      <c r="B45" s="48" t="s">
        <v>68</v>
      </c>
      <c r="C45" s="63"/>
      <c r="D45" s="55"/>
      <c r="E45" s="56"/>
      <c r="F45" s="57"/>
      <c r="G45" s="58"/>
      <c r="H45" s="37"/>
      <c r="I45" s="44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6"/>
      <c r="AE45" s="24"/>
      <c r="AG45" s="47"/>
      <c r="AH45" s="47"/>
    </row>
    <row r="46" spans="1:34" ht="13.5" customHeight="1" x14ac:dyDescent="0.25">
      <c r="A46" s="84"/>
      <c r="B46" s="36" t="s">
        <v>69</v>
      </c>
      <c r="C46" s="63"/>
      <c r="D46" s="55"/>
      <c r="E46" s="56"/>
      <c r="F46" s="57"/>
      <c r="G46" s="58">
        <v>12330408.939999999</v>
      </c>
      <c r="H46" s="37">
        <f t="shared" ref="H46:H47" si="27">G46/$G$61</f>
        <v>6.1253856165663879E-3</v>
      </c>
      <c r="I46" s="44"/>
      <c r="J46" s="45"/>
      <c r="K46" s="45"/>
      <c r="L46" s="45"/>
      <c r="M46" s="45"/>
      <c r="N46" s="45"/>
      <c r="O46" s="45">
        <f t="shared" ref="O46:Z46" si="28">$H$46/12</f>
        <v>5.1044880138053229E-4</v>
      </c>
      <c r="P46" s="45">
        <f t="shared" si="28"/>
        <v>5.1044880138053229E-4</v>
      </c>
      <c r="Q46" s="45">
        <f t="shared" si="28"/>
        <v>5.1044880138053229E-4</v>
      </c>
      <c r="R46" s="45">
        <f t="shared" si="28"/>
        <v>5.1044880138053229E-4</v>
      </c>
      <c r="S46" s="45">
        <f t="shared" si="28"/>
        <v>5.1044880138053229E-4</v>
      </c>
      <c r="T46" s="45">
        <f t="shared" si="28"/>
        <v>5.1044880138053229E-4</v>
      </c>
      <c r="U46" s="45">
        <f t="shared" si="28"/>
        <v>5.1044880138053229E-4</v>
      </c>
      <c r="V46" s="45">
        <f t="shared" si="28"/>
        <v>5.1044880138053229E-4</v>
      </c>
      <c r="W46" s="45">
        <f t="shared" si="28"/>
        <v>5.1044880138053229E-4</v>
      </c>
      <c r="X46" s="45">
        <f t="shared" si="28"/>
        <v>5.1044880138053229E-4</v>
      </c>
      <c r="Y46" s="45">
        <f t="shared" si="28"/>
        <v>5.1044880138053229E-4</v>
      </c>
      <c r="Z46" s="45">
        <f t="shared" si="28"/>
        <v>5.1044880138053229E-4</v>
      </c>
      <c r="AA46" s="45"/>
      <c r="AB46" s="45"/>
      <c r="AC46" s="45"/>
      <c r="AD46" s="46"/>
      <c r="AE46" s="24"/>
      <c r="AG46" s="47">
        <f t="shared" ref="AG46:AG55" si="29">SUM(I46:AD46)</f>
        <v>6.1253856165663879E-3</v>
      </c>
      <c r="AH46" s="47">
        <f t="shared" ref="AH46:AH55" si="30">H46-AG46</f>
        <v>0</v>
      </c>
    </row>
    <row r="47" spans="1:34" ht="13.5" customHeight="1" x14ac:dyDescent="0.25">
      <c r="A47" s="84"/>
      <c r="B47" s="36" t="s">
        <v>70</v>
      </c>
      <c r="C47" s="63"/>
      <c r="D47" s="86"/>
      <c r="E47" s="56"/>
      <c r="F47" s="57"/>
      <c r="G47" s="58">
        <v>10213087.49</v>
      </c>
      <c r="H47" s="37">
        <f t="shared" si="27"/>
        <v>5.0735624030309023E-3</v>
      </c>
      <c r="I47" s="44"/>
      <c r="J47" s="45"/>
      <c r="K47" s="45"/>
      <c r="L47" s="45"/>
      <c r="M47" s="45"/>
      <c r="N47" s="45"/>
      <c r="O47" s="45"/>
      <c r="P47" s="45"/>
      <c r="Q47" s="45">
        <f t="shared" ref="Q47:AB47" si="31">$H$47/12</f>
        <v>4.2279686691924187E-4</v>
      </c>
      <c r="R47" s="45">
        <f t="shared" si="31"/>
        <v>4.2279686691924187E-4</v>
      </c>
      <c r="S47" s="45">
        <f t="shared" si="31"/>
        <v>4.2279686691924187E-4</v>
      </c>
      <c r="T47" s="45">
        <f t="shared" si="31"/>
        <v>4.2279686691924187E-4</v>
      </c>
      <c r="U47" s="45">
        <f t="shared" si="31"/>
        <v>4.2279686691924187E-4</v>
      </c>
      <c r="V47" s="45">
        <f t="shared" si="31"/>
        <v>4.2279686691924187E-4</v>
      </c>
      <c r="W47" s="45">
        <f t="shared" si="31"/>
        <v>4.2279686691924187E-4</v>
      </c>
      <c r="X47" s="45">
        <f t="shared" si="31"/>
        <v>4.2279686691924187E-4</v>
      </c>
      <c r="Y47" s="45">
        <f t="shared" si="31"/>
        <v>4.2279686691924187E-4</v>
      </c>
      <c r="Z47" s="45">
        <f t="shared" si="31"/>
        <v>4.2279686691924187E-4</v>
      </c>
      <c r="AA47" s="45">
        <f t="shared" si="31"/>
        <v>4.2279686691924187E-4</v>
      </c>
      <c r="AB47" s="45">
        <f t="shared" si="31"/>
        <v>4.2279686691924187E-4</v>
      </c>
      <c r="AC47" s="45"/>
      <c r="AD47" s="46"/>
      <c r="AE47" s="24"/>
      <c r="AG47" s="47">
        <f t="shared" si="29"/>
        <v>5.0735624030309014E-3</v>
      </c>
      <c r="AH47" s="47">
        <f t="shared" si="30"/>
        <v>0</v>
      </c>
    </row>
    <row r="48" spans="1:34" ht="13.5" customHeight="1" x14ac:dyDescent="0.25">
      <c r="A48" s="85">
        <v>10</v>
      </c>
      <c r="B48" s="48" t="s">
        <v>71</v>
      </c>
      <c r="C48" s="49"/>
      <c r="D48" s="50"/>
      <c r="E48" s="56"/>
      <c r="F48" s="57"/>
      <c r="G48" s="58" t="s">
        <v>72</v>
      </c>
      <c r="H48" s="37"/>
      <c r="I48" s="44"/>
      <c r="J48" s="45"/>
      <c r="K48" s="45"/>
      <c r="L48" s="45"/>
      <c r="M48" s="45"/>
      <c r="N48" s="45"/>
      <c r="O48" s="45"/>
      <c r="P48" s="45">
        <f t="shared" ref="P48:AD48" si="32">$H$48/15</f>
        <v>0</v>
      </c>
      <c r="Q48" s="45">
        <f t="shared" si="32"/>
        <v>0</v>
      </c>
      <c r="R48" s="45">
        <f t="shared" si="32"/>
        <v>0</v>
      </c>
      <c r="S48" s="45">
        <f t="shared" si="32"/>
        <v>0</v>
      </c>
      <c r="T48" s="45">
        <f t="shared" si="32"/>
        <v>0</v>
      </c>
      <c r="U48" s="45">
        <f t="shared" si="32"/>
        <v>0</v>
      </c>
      <c r="V48" s="45">
        <f t="shared" si="32"/>
        <v>0</v>
      </c>
      <c r="W48" s="45">
        <f t="shared" si="32"/>
        <v>0</v>
      </c>
      <c r="X48" s="45">
        <f t="shared" si="32"/>
        <v>0</v>
      </c>
      <c r="Y48" s="45">
        <f t="shared" si="32"/>
        <v>0</v>
      </c>
      <c r="Z48" s="45">
        <f t="shared" si="32"/>
        <v>0</v>
      </c>
      <c r="AA48" s="45">
        <f t="shared" si="32"/>
        <v>0</v>
      </c>
      <c r="AB48" s="45">
        <f t="shared" si="32"/>
        <v>0</v>
      </c>
      <c r="AC48" s="45">
        <f t="shared" si="32"/>
        <v>0</v>
      </c>
      <c r="AD48" s="46">
        <f t="shared" si="32"/>
        <v>0</v>
      </c>
      <c r="AE48" s="24"/>
      <c r="AG48" s="47">
        <f t="shared" si="29"/>
        <v>0</v>
      </c>
      <c r="AH48" s="47">
        <f t="shared" si="30"/>
        <v>0</v>
      </c>
    </row>
    <row r="49" spans="1:35" ht="13.5" customHeight="1" x14ac:dyDescent="0.25">
      <c r="A49" s="85"/>
      <c r="B49" s="36" t="s">
        <v>73</v>
      </c>
      <c r="C49" s="49"/>
      <c r="D49" s="50"/>
      <c r="E49" s="56"/>
      <c r="F49" s="57"/>
      <c r="G49" s="58">
        <v>143664.35999999999</v>
      </c>
      <c r="H49" s="37">
        <f>G49/$G$61</f>
        <v>7.1368241608150219E-5</v>
      </c>
      <c r="I49" s="44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>
        <f>H49/2</f>
        <v>3.568412080407511E-5</v>
      </c>
      <c r="AD49" s="46">
        <f>H49/2</f>
        <v>3.568412080407511E-5</v>
      </c>
      <c r="AE49" s="24"/>
      <c r="AG49" s="47">
        <f t="shared" si="29"/>
        <v>7.1368241608150219E-5</v>
      </c>
      <c r="AH49" s="47">
        <f t="shared" si="30"/>
        <v>0</v>
      </c>
    </row>
    <row r="50" spans="1:35" ht="13.5" customHeight="1" x14ac:dyDescent="0.25">
      <c r="A50" s="30" t="s">
        <v>72</v>
      </c>
      <c r="B50" s="48" t="s">
        <v>74</v>
      </c>
      <c r="C50" s="49"/>
      <c r="D50" s="50"/>
      <c r="E50" s="87"/>
      <c r="F50" s="88"/>
      <c r="G50" s="89"/>
      <c r="H50" s="90"/>
      <c r="I50" s="44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6"/>
      <c r="AE50" s="24"/>
      <c r="AG50" s="47">
        <f t="shared" si="29"/>
        <v>0</v>
      </c>
      <c r="AH50" s="47">
        <f t="shared" si="30"/>
        <v>0</v>
      </c>
    </row>
    <row r="51" spans="1:35" ht="13.5" customHeight="1" x14ac:dyDescent="0.25">
      <c r="A51" s="30"/>
      <c r="B51" s="36" t="s">
        <v>75</v>
      </c>
      <c r="C51" s="49"/>
      <c r="D51" s="50"/>
      <c r="E51" s="87"/>
      <c r="F51" s="88"/>
      <c r="G51" s="58">
        <v>60011839.049999997</v>
      </c>
      <c r="H51" s="37">
        <f t="shared" ref="H51:H55" si="33">G51/$G$61</f>
        <v>2.9812122009034284E-2</v>
      </c>
      <c r="I51" s="44"/>
      <c r="J51" s="45"/>
      <c r="K51" s="45"/>
      <c r="L51" s="45"/>
      <c r="M51" s="45"/>
      <c r="N51" s="45">
        <f t="shared" ref="N51:AD51" si="34">$H$51/17</f>
        <v>1.753654235825546E-3</v>
      </c>
      <c r="O51" s="45">
        <f t="shared" si="34"/>
        <v>1.753654235825546E-3</v>
      </c>
      <c r="P51" s="45">
        <f t="shared" si="34"/>
        <v>1.753654235825546E-3</v>
      </c>
      <c r="Q51" s="45">
        <f t="shared" si="34"/>
        <v>1.753654235825546E-3</v>
      </c>
      <c r="R51" s="45">
        <f t="shared" si="34"/>
        <v>1.753654235825546E-3</v>
      </c>
      <c r="S51" s="45">
        <f t="shared" si="34"/>
        <v>1.753654235825546E-3</v>
      </c>
      <c r="T51" s="45">
        <f t="shared" si="34"/>
        <v>1.753654235825546E-3</v>
      </c>
      <c r="U51" s="45">
        <f t="shared" si="34"/>
        <v>1.753654235825546E-3</v>
      </c>
      <c r="V51" s="45">
        <f t="shared" si="34"/>
        <v>1.753654235825546E-3</v>
      </c>
      <c r="W51" s="45">
        <f t="shared" si="34"/>
        <v>1.753654235825546E-3</v>
      </c>
      <c r="X51" s="45">
        <f t="shared" si="34"/>
        <v>1.753654235825546E-3</v>
      </c>
      <c r="Y51" s="45">
        <f t="shared" si="34"/>
        <v>1.753654235825546E-3</v>
      </c>
      <c r="Z51" s="45">
        <f t="shared" si="34"/>
        <v>1.753654235825546E-3</v>
      </c>
      <c r="AA51" s="45">
        <f t="shared" si="34"/>
        <v>1.753654235825546E-3</v>
      </c>
      <c r="AB51" s="45">
        <f t="shared" si="34"/>
        <v>1.753654235825546E-3</v>
      </c>
      <c r="AC51" s="45">
        <f t="shared" si="34"/>
        <v>1.753654235825546E-3</v>
      </c>
      <c r="AD51" s="46">
        <f t="shared" si="34"/>
        <v>1.753654235825546E-3</v>
      </c>
      <c r="AE51" s="24"/>
      <c r="AG51" s="47">
        <f t="shared" si="29"/>
        <v>2.9812122009034294E-2</v>
      </c>
      <c r="AH51" s="47">
        <f t="shared" si="30"/>
        <v>0</v>
      </c>
    </row>
    <row r="52" spans="1:35" ht="13.5" customHeight="1" x14ac:dyDescent="0.25">
      <c r="A52" s="30"/>
      <c r="B52" s="36" t="s">
        <v>76</v>
      </c>
      <c r="C52" s="49"/>
      <c r="D52" s="50"/>
      <c r="E52" s="87"/>
      <c r="F52" s="88"/>
      <c r="G52" s="89">
        <v>66352468.590000004</v>
      </c>
      <c r="H52" s="37">
        <f t="shared" si="33"/>
        <v>3.2961960848385222E-2</v>
      </c>
      <c r="I52" s="44"/>
      <c r="J52" s="45"/>
      <c r="K52" s="45"/>
      <c r="L52" s="45"/>
      <c r="M52" s="45"/>
      <c r="N52" s="45">
        <f t="shared" ref="N52:AD52" si="35">$H$52/17</f>
        <v>1.9389388734344249E-3</v>
      </c>
      <c r="O52" s="45">
        <f t="shared" si="35"/>
        <v>1.9389388734344249E-3</v>
      </c>
      <c r="P52" s="45">
        <f t="shared" si="35"/>
        <v>1.9389388734344249E-3</v>
      </c>
      <c r="Q52" s="45">
        <f t="shared" si="35"/>
        <v>1.9389388734344249E-3</v>
      </c>
      <c r="R52" s="45">
        <f t="shared" si="35"/>
        <v>1.9389388734344249E-3</v>
      </c>
      <c r="S52" s="45">
        <f t="shared" si="35"/>
        <v>1.9389388734344249E-3</v>
      </c>
      <c r="T52" s="45">
        <f t="shared" si="35"/>
        <v>1.9389388734344249E-3</v>
      </c>
      <c r="U52" s="45">
        <f t="shared" si="35"/>
        <v>1.9389388734344249E-3</v>
      </c>
      <c r="V52" s="45">
        <f t="shared" si="35"/>
        <v>1.9389388734344249E-3</v>
      </c>
      <c r="W52" s="45">
        <f t="shared" si="35"/>
        <v>1.9389388734344249E-3</v>
      </c>
      <c r="X52" s="45">
        <f t="shared" si="35"/>
        <v>1.9389388734344249E-3</v>
      </c>
      <c r="Y52" s="45">
        <f t="shared" si="35"/>
        <v>1.9389388734344249E-3</v>
      </c>
      <c r="Z52" s="45">
        <f t="shared" si="35"/>
        <v>1.9389388734344249E-3</v>
      </c>
      <c r="AA52" s="45">
        <f t="shared" si="35"/>
        <v>1.9389388734344249E-3</v>
      </c>
      <c r="AB52" s="45">
        <f t="shared" si="35"/>
        <v>1.9389388734344249E-3</v>
      </c>
      <c r="AC52" s="45">
        <f t="shared" si="35"/>
        <v>1.9389388734344249E-3</v>
      </c>
      <c r="AD52" s="46">
        <f t="shared" si="35"/>
        <v>1.9389388734344249E-3</v>
      </c>
      <c r="AE52" s="24"/>
      <c r="AG52" s="47">
        <f t="shared" si="29"/>
        <v>3.2961960848385208E-2</v>
      </c>
      <c r="AH52" s="47">
        <f t="shared" si="30"/>
        <v>0</v>
      </c>
    </row>
    <row r="53" spans="1:35" ht="13.5" customHeight="1" x14ac:dyDescent="0.25">
      <c r="A53" s="30"/>
      <c r="B53" s="36" t="s">
        <v>77</v>
      </c>
      <c r="C53" s="49"/>
      <c r="D53" s="50"/>
      <c r="E53" s="87"/>
      <c r="F53" s="88"/>
      <c r="G53" s="89">
        <v>185447608.5</v>
      </c>
      <c r="H53" s="37">
        <f t="shared" si="33"/>
        <v>9.2124934319699439E-2</v>
      </c>
      <c r="I53" s="44"/>
      <c r="J53" s="45"/>
      <c r="K53" s="45"/>
      <c r="L53" s="45"/>
      <c r="M53" s="45"/>
      <c r="N53" s="45">
        <f t="shared" ref="N53:AD53" si="36">$H$53/17</f>
        <v>5.4191137835117318E-3</v>
      </c>
      <c r="O53" s="45">
        <f t="shared" si="36"/>
        <v>5.4191137835117318E-3</v>
      </c>
      <c r="P53" s="45">
        <f t="shared" si="36"/>
        <v>5.4191137835117318E-3</v>
      </c>
      <c r="Q53" s="45">
        <f t="shared" si="36"/>
        <v>5.4191137835117318E-3</v>
      </c>
      <c r="R53" s="45">
        <f t="shared" si="36"/>
        <v>5.4191137835117318E-3</v>
      </c>
      <c r="S53" s="45">
        <f t="shared" si="36"/>
        <v>5.4191137835117318E-3</v>
      </c>
      <c r="T53" s="45">
        <f t="shared" si="36"/>
        <v>5.4191137835117318E-3</v>
      </c>
      <c r="U53" s="45">
        <f t="shared" si="36"/>
        <v>5.4191137835117318E-3</v>
      </c>
      <c r="V53" s="45">
        <f t="shared" si="36"/>
        <v>5.4191137835117318E-3</v>
      </c>
      <c r="W53" s="45">
        <f t="shared" si="36"/>
        <v>5.4191137835117318E-3</v>
      </c>
      <c r="X53" s="45">
        <f t="shared" si="36"/>
        <v>5.4191137835117318E-3</v>
      </c>
      <c r="Y53" s="45">
        <f t="shared" si="36"/>
        <v>5.4191137835117318E-3</v>
      </c>
      <c r="Z53" s="45">
        <f t="shared" si="36"/>
        <v>5.4191137835117318E-3</v>
      </c>
      <c r="AA53" s="45">
        <f t="shared" si="36"/>
        <v>5.4191137835117318E-3</v>
      </c>
      <c r="AB53" s="45">
        <f t="shared" si="36"/>
        <v>5.4191137835117318E-3</v>
      </c>
      <c r="AC53" s="45">
        <f t="shared" si="36"/>
        <v>5.4191137835117318E-3</v>
      </c>
      <c r="AD53" s="46">
        <f t="shared" si="36"/>
        <v>5.4191137835117318E-3</v>
      </c>
      <c r="AE53" s="24"/>
      <c r="AG53" s="47">
        <f t="shared" si="29"/>
        <v>9.2124934319699439E-2</v>
      </c>
      <c r="AH53" s="47">
        <f t="shared" si="30"/>
        <v>0</v>
      </c>
    </row>
    <row r="54" spans="1:35" ht="13.5" customHeight="1" x14ac:dyDescent="0.25">
      <c r="A54" s="30"/>
      <c r="B54" s="36" t="s">
        <v>78</v>
      </c>
      <c r="C54" s="49"/>
      <c r="D54" s="50"/>
      <c r="E54" s="87"/>
      <c r="F54" s="88"/>
      <c r="G54" s="89">
        <v>2201990.7000000002</v>
      </c>
      <c r="H54" s="37">
        <f t="shared" si="33"/>
        <v>1.0938844143147254E-3</v>
      </c>
      <c r="I54" s="44"/>
      <c r="J54" s="45"/>
      <c r="K54" s="45"/>
      <c r="L54" s="45"/>
      <c r="M54" s="45"/>
      <c r="N54" s="45">
        <f t="shared" ref="N54:AD54" si="37">$H$54/17</f>
        <v>6.4346142018513252E-5</v>
      </c>
      <c r="O54" s="45">
        <f t="shared" si="37"/>
        <v>6.4346142018513252E-5</v>
      </c>
      <c r="P54" s="45">
        <f t="shared" si="37"/>
        <v>6.4346142018513252E-5</v>
      </c>
      <c r="Q54" s="45">
        <f t="shared" si="37"/>
        <v>6.4346142018513252E-5</v>
      </c>
      <c r="R54" s="45">
        <f t="shared" si="37"/>
        <v>6.4346142018513252E-5</v>
      </c>
      <c r="S54" s="45">
        <f t="shared" si="37"/>
        <v>6.4346142018513252E-5</v>
      </c>
      <c r="T54" s="45">
        <f t="shared" si="37"/>
        <v>6.4346142018513252E-5</v>
      </c>
      <c r="U54" s="45">
        <f t="shared" si="37"/>
        <v>6.4346142018513252E-5</v>
      </c>
      <c r="V54" s="45">
        <f t="shared" si="37"/>
        <v>6.4346142018513252E-5</v>
      </c>
      <c r="W54" s="45">
        <f t="shared" si="37"/>
        <v>6.4346142018513252E-5</v>
      </c>
      <c r="X54" s="45">
        <f t="shared" si="37"/>
        <v>6.4346142018513252E-5</v>
      </c>
      <c r="Y54" s="45">
        <f t="shared" si="37"/>
        <v>6.4346142018513252E-5</v>
      </c>
      <c r="Z54" s="45">
        <f t="shared" si="37"/>
        <v>6.4346142018513252E-5</v>
      </c>
      <c r="AA54" s="45">
        <f t="shared" si="37"/>
        <v>6.4346142018513252E-5</v>
      </c>
      <c r="AB54" s="45">
        <f t="shared" si="37"/>
        <v>6.4346142018513252E-5</v>
      </c>
      <c r="AC54" s="45">
        <f t="shared" si="37"/>
        <v>6.4346142018513252E-5</v>
      </c>
      <c r="AD54" s="46">
        <f t="shared" si="37"/>
        <v>6.4346142018513252E-5</v>
      </c>
      <c r="AE54" s="24"/>
      <c r="AG54" s="47">
        <f t="shared" si="29"/>
        <v>1.0938844143147252E-3</v>
      </c>
      <c r="AH54" s="47">
        <f t="shared" si="30"/>
        <v>0</v>
      </c>
    </row>
    <row r="55" spans="1:35" ht="13.5" customHeight="1" x14ac:dyDescent="0.25">
      <c r="A55" s="30"/>
      <c r="B55" s="36" t="s">
        <v>79</v>
      </c>
      <c r="C55" s="49"/>
      <c r="D55" s="50"/>
      <c r="E55" s="87"/>
      <c r="F55" s="88"/>
      <c r="G55" s="89">
        <v>15142242.15</v>
      </c>
      <c r="H55" s="37">
        <f t="shared" si="33"/>
        <v>7.5222219084142804E-3</v>
      </c>
      <c r="I55" s="44"/>
      <c r="J55" s="45"/>
      <c r="K55" s="45"/>
      <c r="L55" s="45"/>
      <c r="M55" s="45"/>
      <c r="N55" s="45">
        <f t="shared" ref="N55:AD55" si="38">$H$55/17</f>
        <v>4.4248364167142826E-4</v>
      </c>
      <c r="O55" s="45">
        <f t="shared" si="38"/>
        <v>4.4248364167142826E-4</v>
      </c>
      <c r="P55" s="45">
        <f t="shared" si="38"/>
        <v>4.4248364167142826E-4</v>
      </c>
      <c r="Q55" s="45">
        <f t="shared" si="38"/>
        <v>4.4248364167142826E-4</v>
      </c>
      <c r="R55" s="45">
        <f t="shared" si="38"/>
        <v>4.4248364167142826E-4</v>
      </c>
      <c r="S55" s="45">
        <f t="shared" si="38"/>
        <v>4.4248364167142826E-4</v>
      </c>
      <c r="T55" s="45">
        <f t="shared" si="38"/>
        <v>4.4248364167142826E-4</v>
      </c>
      <c r="U55" s="45">
        <f t="shared" si="38"/>
        <v>4.4248364167142826E-4</v>
      </c>
      <c r="V55" s="45">
        <f t="shared" si="38"/>
        <v>4.4248364167142826E-4</v>
      </c>
      <c r="W55" s="45">
        <f t="shared" si="38"/>
        <v>4.4248364167142826E-4</v>
      </c>
      <c r="X55" s="45">
        <f t="shared" si="38"/>
        <v>4.4248364167142826E-4</v>
      </c>
      <c r="Y55" s="45">
        <f t="shared" si="38"/>
        <v>4.4248364167142826E-4</v>
      </c>
      <c r="Z55" s="45">
        <f t="shared" si="38"/>
        <v>4.4248364167142826E-4</v>
      </c>
      <c r="AA55" s="45">
        <f t="shared" si="38"/>
        <v>4.4248364167142826E-4</v>
      </c>
      <c r="AB55" s="45">
        <f t="shared" si="38"/>
        <v>4.4248364167142826E-4</v>
      </c>
      <c r="AC55" s="45">
        <f t="shared" si="38"/>
        <v>4.4248364167142826E-4</v>
      </c>
      <c r="AD55" s="46">
        <f t="shared" si="38"/>
        <v>4.4248364167142826E-4</v>
      </c>
      <c r="AE55" s="24"/>
      <c r="AG55" s="47">
        <f t="shared" si="29"/>
        <v>7.5222219084142804E-3</v>
      </c>
      <c r="AH55" s="47">
        <f t="shared" si="30"/>
        <v>0</v>
      </c>
    </row>
    <row r="56" spans="1:35" ht="13.5" customHeight="1" x14ac:dyDescent="0.25">
      <c r="A56" s="30" t="s">
        <v>72</v>
      </c>
      <c r="B56" s="48" t="s">
        <v>80</v>
      </c>
      <c r="C56" s="49"/>
      <c r="D56" s="50"/>
      <c r="E56" s="87"/>
      <c r="F56" s="88"/>
      <c r="G56" s="89"/>
      <c r="H56" s="90"/>
      <c r="I56" s="44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6"/>
      <c r="AE56" s="24"/>
      <c r="AG56" s="47"/>
      <c r="AH56" s="47"/>
    </row>
    <row r="57" spans="1:35" ht="13.5" customHeight="1" x14ac:dyDescent="0.25">
      <c r="A57" s="30"/>
      <c r="B57" s="36" t="s">
        <v>81</v>
      </c>
      <c r="C57" s="49"/>
      <c r="D57" s="50"/>
      <c r="E57" s="87"/>
      <c r="F57" s="88"/>
      <c r="G57" s="58">
        <f>57551508.37+7596799.11</f>
        <v>65148307.479999997</v>
      </c>
      <c r="H57" s="37">
        <f t="shared" ref="H57:H60" si="39">G57/$G$61</f>
        <v>3.2363768916624139E-2</v>
      </c>
      <c r="I57" s="44"/>
      <c r="J57" s="45"/>
      <c r="K57" s="45"/>
      <c r="L57" s="45"/>
      <c r="M57" s="45"/>
      <c r="N57" s="45">
        <f t="shared" ref="N57:AD57" si="40">$H$57/17</f>
        <v>1.9037511127425965E-3</v>
      </c>
      <c r="O57" s="45">
        <f t="shared" si="40"/>
        <v>1.9037511127425965E-3</v>
      </c>
      <c r="P57" s="45">
        <f t="shared" si="40"/>
        <v>1.9037511127425965E-3</v>
      </c>
      <c r="Q57" s="45">
        <f t="shared" si="40"/>
        <v>1.9037511127425965E-3</v>
      </c>
      <c r="R57" s="45">
        <f t="shared" si="40"/>
        <v>1.9037511127425965E-3</v>
      </c>
      <c r="S57" s="45">
        <f t="shared" si="40"/>
        <v>1.9037511127425965E-3</v>
      </c>
      <c r="T57" s="45">
        <f t="shared" si="40"/>
        <v>1.9037511127425965E-3</v>
      </c>
      <c r="U57" s="45">
        <f t="shared" si="40"/>
        <v>1.9037511127425965E-3</v>
      </c>
      <c r="V57" s="45">
        <f t="shared" si="40"/>
        <v>1.9037511127425965E-3</v>
      </c>
      <c r="W57" s="45">
        <f t="shared" si="40"/>
        <v>1.9037511127425965E-3</v>
      </c>
      <c r="X57" s="45">
        <f t="shared" si="40"/>
        <v>1.9037511127425965E-3</v>
      </c>
      <c r="Y57" s="45">
        <f t="shared" si="40"/>
        <v>1.9037511127425965E-3</v>
      </c>
      <c r="Z57" s="45">
        <f t="shared" si="40"/>
        <v>1.9037511127425965E-3</v>
      </c>
      <c r="AA57" s="45">
        <f t="shared" si="40"/>
        <v>1.9037511127425965E-3</v>
      </c>
      <c r="AB57" s="45">
        <f t="shared" si="40"/>
        <v>1.9037511127425965E-3</v>
      </c>
      <c r="AC57" s="45">
        <f t="shared" si="40"/>
        <v>1.9037511127425965E-3</v>
      </c>
      <c r="AD57" s="46">
        <f t="shared" si="40"/>
        <v>1.9037511127425965E-3</v>
      </c>
      <c r="AE57" s="24"/>
      <c r="AG57" s="47">
        <f t="shared" ref="AG57:AG60" si="41">SUM(I57:AD57)</f>
        <v>3.2363768916624132E-2</v>
      </c>
      <c r="AH57" s="47">
        <f t="shared" ref="AH57:AH60" si="42">H57-AG57</f>
        <v>0</v>
      </c>
    </row>
    <row r="58" spans="1:35" ht="13.5" customHeight="1" x14ac:dyDescent="0.25">
      <c r="A58" s="91"/>
      <c r="B58" s="64" t="s">
        <v>82</v>
      </c>
      <c r="C58" s="92"/>
      <c r="D58" s="50"/>
      <c r="E58" s="87"/>
      <c r="F58" s="88"/>
      <c r="G58" s="89">
        <v>3435273.45</v>
      </c>
      <c r="H58" s="37">
        <f t="shared" si="39"/>
        <v>1.7065431229406083E-3</v>
      </c>
      <c r="I58" s="44"/>
      <c r="J58" s="45"/>
      <c r="K58" s="45"/>
      <c r="L58" s="45"/>
      <c r="M58" s="45"/>
      <c r="N58" s="45">
        <f t="shared" ref="N58:AD58" si="43">$H$58/17</f>
        <v>1.0038488958474166E-4</v>
      </c>
      <c r="O58" s="45">
        <f t="shared" si="43"/>
        <v>1.0038488958474166E-4</v>
      </c>
      <c r="P58" s="45">
        <f t="shared" si="43"/>
        <v>1.0038488958474166E-4</v>
      </c>
      <c r="Q58" s="45">
        <f t="shared" si="43"/>
        <v>1.0038488958474166E-4</v>
      </c>
      <c r="R58" s="45">
        <f t="shared" si="43"/>
        <v>1.0038488958474166E-4</v>
      </c>
      <c r="S58" s="45">
        <f t="shared" si="43"/>
        <v>1.0038488958474166E-4</v>
      </c>
      <c r="T58" s="45">
        <f t="shared" si="43"/>
        <v>1.0038488958474166E-4</v>
      </c>
      <c r="U58" s="45">
        <f t="shared" si="43"/>
        <v>1.0038488958474166E-4</v>
      </c>
      <c r="V58" s="45">
        <f t="shared" si="43"/>
        <v>1.0038488958474166E-4</v>
      </c>
      <c r="W58" s="45">
        <f t="shared" si="43"/>
        <v>1.0038488958474166E-4</v>
      </c>
      <c r="X58" s="45">
        <f t="shared" si="43"/>
        <v>1.0038488958474166E-4</v>
      </c>
      <c r="Y58" s="45">
        <f t="shared" si="43"/>
        <v>1.0038488958474166E-4</v>
      </c>
      <c r="Z58" s="45">
        <f t="shared" si="43"/>
        <v>1.0038488958474166E-4</v>
      </c>
      <c r="AA58" s="45">
        <f t="shared" si="43"/>
        <v>1.0038488958474166E-4</v>
      </c>
      <c r="AB58" s="45">
        <f t="shared" si="43"/>
        <v>1.0038488958474166E-4</v>
      </c>
      <c r="AC58" s="45">
        <f t="shared" si="43"/>
        <v>1.0038488958474166E-4</v>
      </c>
      <c r="AD58" s="46">
        <f t="shared" si="43"/>
        <v>1.0038488958474166E-4</v>
      </c>
      <c r="AE58" s="24"/>
      <c r="AG58" s="47">
        <f t="shared" si="41"/>
        <v>1.7065431229406076E-3</v>
      </c>
      <c r="AH58" s="47">
        <f t="shared" si="42"/>
        <v>0</v>
      </c>
    </row>
    <row r="59" spans="1:35" ht="13.5" customHeight="1" x14ac:dyDescent="0.25">
      <c r="A59" s="91"/>
      <c r="B59" s="93" t="s">
        <v>83</v>
      </c>
      <c r="C59" s="92"/>
      <c r="D59" s="50"/>
      <c r="E59" s="87"/>
      <c r="F59" s="88"/>
      <c r="G59" s="89">
        <v>4974485.25</v>
      </c>
      <c r="H59" s="37">
        <f t="shared" si="39"/>
        <v>2.4711784133391165E-3</v>
      </c>
      <c r="I59" s="44"/>
      <c r="J59" s="45"/>
      <c r="K59" s="45"/>
      <c r="L59" s="45"/>
      <c r="M59" s="45"/>
      <c r="N59" s="45">
        <f t="shared" ref="N59:AD59" si="44">$H$59/17</f>
        <v>1.4536343607877156E-4</v>
      </c>
      <c r="O59" s="45">
        <f t="shared" si="44"/>
        <v>1.4536343607877156E-4</v>
      </c>
      <c r="P59" s="45">
        <f t="shared" si="44"/>
        <v>1.4536343607877156E-4</v>
      </c>
      <c r="Q59" s="45">
        <f t="shared" si="44"/>
        <v>1.4536343607877156E-4</v>
      </c>
      <c r="R59" s="45">
        <f t="shared" si="44"/>
        <v>1.4536343607877156E-4</v>
      </c>
      <c r="S59" s="45">
        <f t="shared" si="44"/>
        <v>1.4536343607877156E-4</v>
      </c>
      <c r="T59" s="45">
        <f t="shared" si="44"/>
        <v>1.4536343607877156E-4</v>
      </c>
      <c r="U59" s="45">
        <f t="shared" si="44"/>
        <v>1.4536343607877156E-4</v>
      </c>
      <c r="V59" s="45">
        <f t="shared" si="44"/>
        <v>1.4536343607877156E-4</v>
      </c>
      <c r="W59" s="45">
        <f t="shared" si="44"/>
        <v>1.4536343607877156E-4</v>
      </c>
      <c r="X59" s="45">
        <f t="shared" si="44"/>
        <v>1.4536343607877156E-4</v>
      </c>
      <c r="Y59" s="45">
        <f t="shared" si="44"/>
        <v>1.4536343607877156E-4</v>
      </c>
      <c r="Z59" s="45">
        <f t="shared" si="44"/>
        <v>1.4536343607877156E-4</v>
      </c>
      <c r="AA59" s="45">
        <f t="shared" si="44"/>
        <v>1.4536343607877156E-4</v>
      </c>
      <c r="AB59" s="45">
        <f t="shared" si="44"/>
        <v>1.4536343607877156E-4</v>
      </c>
      <c r="AC59" s="45">
        <f t="shared" si="44"/>
        <v>1.4536343607877156E-4</v>
      </c>
      <c r="AD59" s="46">
        <f t="shared" si="44"/>
        <v>1.4536343607877156E-4</v>
      </c>
      <c r="AE59" s="24"/>
      <c r="AG59" s="47">
        <f t="shared" si="41"/>
        <v>2.4711784133391165E-3</v>
      </c>
      <c r="AH59" s="47">
        <f t="shared" si="42"/>
        <v>0</v>
      </c>
    </row>
    <row r="60" spans="1:35" ht="13.5" customHeight="1" x14ac:dyDescent="0.25">
      <c r="A60" s="91"/>
      <c r="B60" s="93" t="s">
        <v>84</v>
      </c>
      <c r="C60" s="94"/>
      <c r="D60" s="93"/>
      <c r="E60" s="87"/>
      <c r="F60" s="88"/>
      <c r="G60" s="89">
        <f>63574113.25+8391782.95</f>
        <v>71965896.200000003</v>
      </c>
      <c r="H60" s="37">
        <f t="shared" si="39"/>
        <v>3.5750547091489226E-2</v>
      </c>
      <c r="I60" s="44"/>
      <c r="J60" s="45"/>
      <c r="K60" s="45"/>
      <c r="L60" s="45"/>
      <c r="M60" s="45"/>
      <c r="N60" s="45">
        <f t="shared" ref="N60:AD60" si="45">$H$60/17</f>
        <v>2.1029733583228958E-3</v>
      </c>
      <c r="O60" s="45">
        <f t="shared" si="45"/>
        <v>2.1029733583228958E-3</v>
      </c>
      <c r="P60" s="45">
        <f t="shared" si="45"/>
        <v>2.1029733583228958E-3</v>
      </c>
      <c r="Q60" s="45">
        <f t="shared" si="45"/>
        <v>2.1029733583228958E-3</v>
      </c>
      <c r="R60" s="45">
        <f t="shared" si="45"/>
        <v>2.1029733583228958E-3</v>
      </c>
      <c r="S60" s="45">
        <f t="shared" si="45"/>
        <v>2.1029733583228958E-3</v>
      </c>
      <c r="T60" s="45">
        <f t="shared" si="45"/>
        <v>2.1029733583228958E-3</v>
      </c>
      <c r="U60" s="45">
        <f t="shared" si="45"/>
        <v>2.1029733583228958E-3</v>
      </c>
      <c r="V60" s="45">
        <f t="shared" si="45"/>
        <v>2.1029733583228958E-3</v>
      </c>
      <c r="W60" s="45">
        <f t="shared" si="45"/>
        <v>2.1029733583228958E-3</v>
      </c>
      <c r="X60" s="45">
        <f t="shared" si="45"/>
        <v>2.1029733583228958E-3</v>
      </c>
      <c r="Y60" s="45">
        <f t="shared" si="45"/>
        <v>2.1029733583228958E-3</v>
      </c>
      <c r="Z60" s="45">
        <f t="shared" si="45"/>
        <v>2.1029733583228958E-3</v>
      </c>
      <c r="AA60" s="45">
        <f t="shared" si="45"/>
        <v>2.1029733583228958E-3</v>
      </c>
      <c r="AB60" s="45">
        <f t="shared" si="45"/>
        <v>2.1029733583228958E-3</v>
      </c>
      <c r="AC60" s="45">
        <f t="shared" si="45"/>
        <v>2.1029733583228958E-3</v>
      </c>
      <c r="AD60" s="46">
        <f t="shared" si="45"/>
        <v>2.1029733583228958E-3</v>
      </c>
      <c r="AE60" s="24"/>
      <c r="AG60" s="47">
        <f t="shared" si="41"/>
        <v>3.5750547091489233E-2</v>
      </c>
      <c r="AH60" s="47">
        <f t="shared" si="42"/>
        <v>0</v>
      </c>
    </row>
    <row r="61" spans="1:35" ht="14.25" customHeight="1" x14ac:dyDescent="0.25">
      <c r="A61" s="132" t="s">
        <v>85</v>
      </c>
      <c r="B61" s="133"/>
      <c r="C61" s="133"/>
      <c r="D61" s="134"/>
      <c r="E61" s="87"/>
      <c r="F61" s="88"/>
      <c r="G61" s="95">
        <f t="shared" ref="G61:H61" si="46">SUM(G11:G60)</f>
        <v>2013001256.0600004</v>
      </c>
      <c r="H61" s="96">
        <f t="shared" si="46"/>
        <v>0.99999999999999956</v>
      </c>
      <c r="I61" s="9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98"/>
      <c r="AE61" s="24"/>
      <c r="AF61" s="153">
        <f>AF63/AD63</f>
        <v>1.0000000000000002</v>
      </c>
      <c r="AG61" s="47"/>
      <c r="AH61" s="47"/>
    </row>
    <row r="62" spans="1:35" ht="12.75" customHeight="1" x14ac:dyDescent="0.25">
      <c r="A62" s="135" t="s">
        <v>86</v>
      </c>
      <c r="B62" s="133"/>
      <c r="C62" s="133"/>
      <c r="D62" s="133"/>
      <c r="E62" s="133"/>
      <c r="F62" s="133"/>
      <c r="G62" s="133"/>
      <c r="H62" s="136"/>
      <c r="I62" s="99">
        <f t="shared" ref="I62:AD62" si="47">SUM(I10:I61)*$AE$68</f>
        <v>3.387218358169877E-3</v>
      </c>
      <c r="J62" s="100">
        <f t="shared" si="47"/>
        <v>2.021662121319687E-3</v>
      </c>
      <c r="K62" s="100">
        <f t="shared" si="47"/>
        <v>6.0036219675290827E-3</v>
      </c>
      <c r="L62" s="100">
        <f t="shared" si="47"/>
        <v>1.6947998663607671E-2</v>
      </c>
      <c r="M62" s="100">
        <f t="shared" si="47"/>
        <v>4.5313709951282616E-2</v>
      </c>
      <c r="N62" s="100">
        <f t="shared" si="47"/>
        <v>6.5470410502364407E-2</v>
      </c>
      <c r="O62" s="100">
        <f t="shared" si="47"/>
        <v>6.0476842184209796E-2</v>
      </c>
      <c r="P62" s="100">
        <f t="shared" si="47"/>
        <v>6.1368542308975295E-2</v>
      </c>
      <c r="Q62" s="100">
        <f t="shared" si="47"/>
        <v>5.9220979629707647E-2</v>
      </c>
      <c r="R62" s="100">
        <f t="shared" si="47"/>
        <v>5.9563750209888487E-2</v>
      </c>
      <c r="S62" s="100">
        <f t="shared" si="47"/>
        <v>5.9855740121177593E-2</v>
      </c>
      <c r="T62" s="100">
        <f t="shared" si="47"/>
        <v>5.9855740121177593E-2</v>
      </c>
      <c r="U62" s="100">
        <f t="shared" si="47"/>
        <v>6.0572094795347704E-2</v>
      </c>
      <c r="V62" s="100">
        <f t="shared" si="47"/>
        <v>6.0572094795347704E-2</v>
      </c>
      <c r="W62" s="100">
        <f t="shared" si="47"/>
        <v>6.0572094795347704E-2</v>
      </c>
      <c r="X62" s="100">
        <f t="shared" si="47"/>
        <v>5.7895409818734166E-2</v>
      </c>
      <c r="Y62" s="100">
        <f t="shared" si="47"/>
        <v>5.7895409818734166E-2</v>
      </c>
      <c r="Z62" s="100">
        <f t="shared" si="47"/>
        <v>5.8216512291995974E-2</v>
      </c>
      <c r="AA62" s="100">
        <f t="shared" si="47"/>
        <v>5.7298313344663655E-2</v>
      </c>
      <c r="AB62" s="100">
        <f t="shared" si="47"/>
        <v>5.3166398898529761E-2</v>
      </c>
      <c r="AC62" s="100">
        <f t="shared" si="47"/>
        <v>1.8397099586574695E-2</v>
      </c>
      <c r="AD62" s="101">
        <f t="shared" si="47"/>
        <v>1.592835571531441E-2</v>
      </c>
      <c r="AE62" s="102"/>
      <c r="AF62" s="103">
        <v>0.27450000000000002</v>
      </c>
      <c r="AG62" s="4">
        <f t="shared" ref="AG62:AH62" si="48">SUM(AG11:AG61)</f>
        <v>0.99999999999999956</v>
      </c>
      <c r="AH62" s="4">
        <f t="shared" si="48"/>
        <v>0</v>
      </c>
      <c r="AI62" s="1"/>
    </row>
    <row r="63" spans="1:35" ht="12.75" customHeight="1" x14ac:dyDescent="0.25">
      <c r="A63" s="137" t="s">
        <v>87</v>
      </c>
      <c r="B63" s="133"/>
      <c r="C63" s="133"/>
      <c r="D63" s="133"/>
      <c r="E63" s="133"/>
      <c r="F63" s="133"/>
      <c r="G63" s="133"/>
      <c r="H63" s="136"/>
      <c r="I63" s="99">
        <f>I62</f>
        <v>3.387218358169877E-3</v>
      </c>
      <c r="J63" s="100">
        <f t="shared" ref="J63:AD63" si="49">I63+J62</f>
        <v>5.408880479489564E-3</v>
      </c>
      <c r="K63" s="100">
        <f t="shared" si="49"/>
        <v>1.1412502447018646E-2</v>
      </c>
      <c r="L63" s="100">
        <f t="shared" si="49"/>
        <v>2.8360501110626317E-2</v>
      </c>
      <c r="M63" s="100">
        <f t="shared" si="49"/>
        <v>7.367421106190894E-2</v>
      </c>
      <c r="N63" s="100">
        <f t="shared" si="49"/>
        <v>0.13914462156427335</v>
      </c>
      <c r="O63" s="100">
        <f t="shared" si="49"/>
        <v>0.19962146374848314</v>
      </c>
      <c r="P63" s="100">
        <f t="shared" si="49"/>
        <v>0.26099000605745842</v>
      </c>
      <c r="Q63" s="100">
        <f t="shared" si="49"/>
        <v>0.32021098568716605</v>
      </c>
      <c r="R63" s="100">
        <f t="shared" si="49"/>
        <v>0.37977473589705452</v>
      </c>
      <c r="S63" s="100">
        <f t="shared" si="49"/>
        <v>0.43963047601823213</v>
      </c>
      <c r="T63" s="100">
        <f t="shared" si="49"/>
        <v>0.49948621613940974</v>
      </c>
      <c r="U63" s="100">
        <f t="shared" si="49"/>
        <v>0.56005831093475744</v>
      </c>
      <c r="V63" s="100">
        <f t="shared" si="49"/>
        <v>0.62063040573010519</v>
      </c>
      <c r="W63" s="100">
        <f t="shared" si="49"/>
        <v>0.68120250052545295</v>
      </c>
      <c r="X63" s="100">
        <f t="shared" si="49"/>
        <v>0.73909791034418715</v>
      </c>
      <c r="Y63" s="100">
        <f t="shared" si="49"/>
        <v>0.79699332016292135</v>
      </c>
      <c r="Z63" s="100">
        <f t="shared" si="49"/>
        <v>0.85520983245491733</v>
      </c>
      <c r="AA63" s="100">
        <f t="shared" si="49"/>
        <v>0.91250814579958095</v>
      </c>
      <c r="AB63" s="100">
        <f t="shared" si="49"/>
        <v>0.96567454469811076</v>
      </c>
      <c r="AC63" s="100">
        <f t="shared" si="49"/>
        <v>0.98407164428468541</v>
      </c>
      <c r="AD63" s="101">
        <f t="shared" si="49"/>
        <v>0.99999999999999978</v>
      </c>
      <c r="AE63" s="102"/>
      <c r="AF63" s="103">
        <v>1</v>
      </c>
      <c r="AG63" s="1"/>
      <c r="AH63" s="4">
        <f>AG62+AH62</f>
        <v>0.99999999999999956</v>
      </c>
      <c r="AI63" s="1"/>
    </row>
    <row r="64" spans="1:35" ht="58.5" customHeight="1" x14ac:dyDescent="0.25">
      <c r="A64" s="138" t="s">
        <v>88</v>
      </c>
      <c r="B64" s="139"/>
      <c r="C64" s="139"/>
      <c r="D64" s="139"/>
      <c r="E64" s="139"/>
      <c r="F64" s="139"/>
      <c r="G64" s="139"/>
      <c r="H64" s="140"/>
      <c r="I64" s="104">
        <f t="shared" ref="I64:AD64" si="50">$G$61*I62</f>
        <v>6818474.8095454546</v>
      </c>
      <c r="J64" s="105">
        <f t="shared" si="50"/>
        <v>4069608.3895454546</v>
      </c>
      <c r="K64" s="105">
        <f t="shared" si="50"/>
        <v>12085298.561545454</v>
      </c>
      <c r="L64" s="105">
        <f t="shared" si="50"/>
        <v>34116342.597545452</v>
      </c>
      <c r="M64" s="105">
        <f t="shared" si="50"/>
        <v>91216555.048670441</v>
      </c>
      <c r="N64" s="105">
        <f t="shared" si="50"/>
        <v>131792018.5760234</v>
      </c>
      <c r="O64" s="105">
        <f t="shared" si="50"/>
        <v>121739959.27935673</v>
      </c>
      <c r="P64" s="105">
        <f t="shared" si="50"/>
        <v>123534952.75053854</v>
      </c>
      <c r="Q64" s="105">
        <f t="shared" si="50"/>
        <v>119211906.37970519</v>
      </c>
      <c r="R64" s="105">
        <f t="shared" si="50"/>
        <v>119901903.98814964</v>
      </c>
      <c r="S64" s="105">
        <f t="shared" si="50"/>
        <v>120489680.04633145</v>
      </c>
      <c r="T64" s="105">
        <f t="shared" si="50"/>
        <v>120489680.04633145</v>
      </c>
      <c r="U64" s="105">
        <f t="shared" si="50"/>
        <v>121931702.90522034</v>
      </c>
      <c r="V64" s="105">
        <f t="shared" si="50"/>
        <v>121931702.90522034</v>
      </c>
      <c r="W64" s="105">
        <f t="shared" si="50"/>
        <v>121931702.90522034</v>
      </c>
      <c r="X64" s="105">
        <f t="shared" si="50"/>
        <v>116543532.68522036</v>
      </c>
      <c r="Y64" s="105">
        <f t="shared" si="50"/>
        <v>116543532.68522036</v>
      </c>
      <c r="Z64" s="105">
        <f t="shared" si="50"/>
        <v>117189912.36722036</v>
      </c>
      <c r="AA64" s="105">
        <f t="shared" si="50"/>
        <v>115341576.73292743</v>
      </c>
      <c r="AB64" s="105">
        <f t="shared" si="50"/>
        <v>107024027.76292743</v>
      </c>
      <c r="AC64" s="105">
        <f t="shared" si="50"/>
        <v>37033384.575635776</v>
      </c>
      <c r="AD64" s="106">
        <f t="shared" si="50"/>
        <v>32063800.061898395</v>
      </c>
      <c r="AE64" s="102"/>
      <c r="AG64" s="107">
        <f>SUM(I64:AD64)</f>
        <v>2013001256.0599995</v>
      </c>
    </row>
    <row r="65" spans="1:34" ht="14.25" customHeight="1" x14ac:dyDescent="0.25">
      <c r="B65" s="108"/>
      <c r="C65" s="108"/>
      <c r="G65" s="109"/>
      <c r="I65" s="5"/>
      <c r="J65" s="5"/>
      <c r="K65" s="5"/>
      <c r="L65" s="5"/>
      <c r="M65" s="5"/>
      <c r="N65" s="5"/>
      <c r="O65" s="5"/>
      <c r="P65" s="5"/>
      <c r="Q65" s="5"/>
      <c r="R65" s="110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spans="1:34" ht="14.25" customHeight="1" x14ac:dyDescent="0.25">
      <c r="B66" s="108"/>
      <c r="C66" s="108"/>
      <c r="G66" s="109"/>
      <c r="I66" s="5"/>
      <c r="J66" s="5"/>
      <c r="K66" s="5"/>
      <c r="L66" s="5"/>
      <c r="M66" s="5"/>
      <c r="N66" s="5"/>
      <c r="O66" s="5"/>
      <c r="P66" s="5"/>
      <c r="Q66" s="5"/>
      <c r="R66" s="110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111"/>
      <c r="AF66" s="112"/>
      <c r="AG66" s="112"/>
      <c r="AH66" s="112"/>
    </row>
    <row r="67" spans="1:34" ht="13.5" customHeight="1" x14ac:dyDescent="0.25">
      <c r="B67" s="108"/>
      <c r="C67" s="108"/>
      <c r="G67" s="113">
        <f>2013001256.06-G61</f>
        <v>0</v>
      </c>
      <c r="I67" s="5"/>
      <c r="J67" s="5"/>
      <c r="K67" s="5"/>
      <c r="L67" s="5"/>
      <c r="M67" s="5"/>
      <c r="N67" s="5"/>
      <c r="O67" s="5"/>
      <c r="P67" s="5"/>
      <c r="Q67" s="5"/>
      <c r="R67" s="110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111"/>
      <c r="AF67" s="112">
        <v>100</v>
      </c>
      <c r="AG67" s="112"/>
      <c r="AH67" s="112"/>
    </row>
    <row r="68" spans="1:34" ht="13.5" customHeight="1" x14ac:dyDescent="0.25">
      <c r="B68" s="108"/>
      <c r="C68" s="108"/>
      <c r="I68" s="5"/>
      <c r="J68" s="5"/>
      <c r="K68" s="5"/>
      <c r="L68" s="5"/>
      <c r="M68" s="5"/>
      <c r="N68" s="5" t="s">
        <v>72</v>
      </c>
      <c r="O68" s="5"/>
      <c r="P68" s="5"/>
      <c r="Q68" s="5"/>
      <c r="R68" s="110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111">
        <f>AF67/AF68</f>
        <v>1</v>
      </c>
      <c r="AF68" s="112">
        <v>100</v>
      </c>
      <c r="AG68" s="112">
        <v>73.42</v>
      </c>
      <c r="AH68" s="112"/>
    </row>
    <row r="69" spans="1:34" ht="13.5" customHeight="1" x14ac:dyDescent="0.25">
      <c r="B69" s="108"/>
      <c r="C69" s="108"/>
      <c r="I69" s="5"/>
      <c r="J69" s="5"/>
      <c r="K69" s="5"/>
      <c r="L69" s="5"/>
      <c r="M69" s="5"/>
      <c r="N69" s="5"/>
      <c r="O69" s="5"/>
      <c r="P69" s="5"/>
      <c r="Q69" s="5"/>
      <c r="R69" s="110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111"/>
      <c r="AF69" s="114">
        <f>AF63/AD63</f>
        <v>1.0000000000000002</v>
      </c>
      <c r="AG69" s="112"/>
      <c r="AH69" s="112"/>
    </row>
    <row r="70" spans="1:34" ht="14.25" customHeight="1" x14ac:dyDescent="0.25">
      <c r="B70" s="108"/>
      <c r="C70" s="108"/>
      <c r="D70" s="115"/>
      <c r="I70" s="5"/>
      <c r="J70" s="5"/>
      <c r="K70" s="5"/>
      <c r="L70" s="5"/>
      <c r="M70" s="5"/>
      <c r="N70" s="5"/>
      <c r="O70" s="5"/>
      <c r="P70" s="5"/>
      <c r="Q70" s="5"/>
      <c r="R70" s="110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111"/>
      <c r="AF70" s="112"/>
      <c r="AG70" s="112"/>
      <c r="AH70" s="112"/>
    </row>
    <row r="71" spans="1:34" ht="14.25" customHeight="1" x14ac:dyDescent="0.25">
      <c r="B71" s="108"/>
      <c r="C71" s="108"/>
      <c r="D71" s="115"/>
      <c r="I71" s="5"/>
      <c r="J71" s="5"/>
      <c r="K71" s="5"/>
      <c r="L71" s="5"/>
      <c r="M71" s="5"/>
      <c r="N71" s="5"/>
      <c r="O71" s="5"/>
      <c r="P71" s="5"/>
      <c r="Q71" s="5"/>
      <c r="R71" s="110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111"/>
      <c r="AF71" s="112"/>
      <c r="AG71" s="112"/>
      <c r="AH71" s="112"/>
    </row>
    <row r="72" spans="1:34" ht="14.25" customHeight="1" x14ac:dyDescent="0.25">
      <c r="B72" s="108"/>
      <c r="C72" s="108"/>
      <c r="I72" s="5"/>
      <c r="J72" s="5"/>
      <c r="K72" s="5"/>
      <c r="L72" s="5"/>
      <c r="M72" s="5"/>
      <c r="N72" s="5"/>
      <c r="O72" s="5"/>
      <c r="P72" s="5"/>
      <c r="Q72" s="5"/>
      <c r="R72" s="110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111"/>
      <c r="AF72" s="112"/>
      <c r="AG72" s="112"/>
      <c r="AH72" s="112"/>
    </row>
    <row r="73" spans="1:34" ht="14.25" customHeight="1" x14ac:dyDescent="0.25">
      <c r="B73" s="108"/>
      <c r="C73" s="108"/>
      <c r="I73" s="5"/>
      <c r="J73" s="5"/>
      <c r="K73" s="5"/>
      <c r="L73" s="5"/>
      <c r="M73" s="5"/>
      <c r="N73" s="5"/>
      <c r="O73" s="5"/>
      <c r="P73" s="5"/>
      <c r="Q73" s="5"/>
      <c r="R73" s="110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4" ht="14.25" customHeight="1" x14ac:dyDescent="0.25">
      <c r="B74" s="108"/>
      <c r="C74" s="108"/>
      <c r="I74" s="5"/>
      <c r="J74" s="5"/>
      <c r="K74" s="5"/>
      <c r="L74" s="5"/>
      <c r="M74" s="5"/>
      <c r="N74" s="5"/>
      <c r="O74" s="5"/>
      <c r="P74" s="5"/>
      <c r="Q74" s="5"/>
      <c r="R74" s="110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4" ht="14.25" customHeight="1" x14ac:dyDescent="0.25">
      <c r="B75" s="108"/>
      <c r="C75" s="108"/>
      <c r="I75" s="5"/>
      <c r="J75" s="5"/>
      <c r="K75" s="5"/>
      <c r="L75" s="5"/>
      <c r="M75" s="5"/>
      <c r="N75" s="5"/>
      <c r="O75" s="5"/>
      <c r="P75" s="5"/>
      <c r="Q75" s="5"/>
      <c r="R75" s="110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4" ht="14.25" customHeight="1" x14ac:dyDescent="0.25">
      <c r="B76" s="108"/>
      <c r="C76" s="108"/>
      <c r="I76" s="5"/>
      <c r="J76" s="5"/>
      <c r="K76" s="5"/>
      <c r="L76" s="5"/>
      <c r="M76" s="5"/>
      <c r="N76" s="5"/>
      <c r="O76" s="5"/>
      <c r="P76" s="5"/>
      <c r="Q76" s="5"/>
      <c r="R76" s="110"/>
      <c r="S76" s="5"/>
      <c r="T76" s="116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4" ht="14.25" customHeight="1" x14ac:dyDescent="0.25">
      <c r="B77" s="108"/>
      <c r="C77" s="108"/>
      <c r="I77" s="2">
        <v>0</v>
      </c>
      <c r="J77" s="2">
        <v>1</v>
      </c>
      <c r="K77" s="2">
        <v>2</v>
      </c>
      <c r="L77" s="2">
        <v>3</v>
      </c>
      <c r="M77" s="2">
        <v>4</v>
      </c>
      <c r="N77" s="2">
        <v>5</v>
      </c>
      <c r="O77" s="2">
        <v>6</v>
      </c>
      <c r="P77" s="2">
        <v>7</v>
      </c>
      <c r="Q77" s="2">
        <v>8</v>
      </c>
      <c r="R77" s="2">
        <v>9</v>
      </c>
      <c r="S77" s="2">
        <v>10</v>
      </c>
      <c r="T77" s="2">
        <v>11</v>
      </c>
      <c r="U77" s="2">
        <v>12</v>
      </c>
      <c r="V77" s="2">
        <v>13</v>
      </c>
      <c r="W77" s="2">
        <v>14</v>
      </c>
      <c r="X77" s="2">
        <v>15</v>
      </c>
      <c r="Y77" s="2">
        <v>16</v>
      </c>
      <c r="Z77" s="2">
        <v>17</v>
      </c>
      <c r="AA77" s="2">
        <v>18</v>
      </c>
      <c r="AB77" s="2"/>
      <c r="AC77" s="2"/>
      <c r="AD77" s="2">
        <v>19</v>
      </c>
      <c r="AE77" s="5"/>
    </row>
    <row r="78" spans="1:34" ht="14.25" customHeight="1" x14ac:dyDescent="0.25">
      <c r="B78" s="108"/>
      <c r="C78" s="108"/>
      <c r="G78" s="117"/>
      <c r="H78" s="117"/>
      <c r="I78" s="118">
        <f t="shared" ref="I78:L78" si="51">I63</f>
        <v>3.387218358169877E-3</v>
      </c>
      <c r="J78" s="119">
        <f t="shared" si="51"/>
        <v>5.408880479489564E-3</v>
      </c>
      <c r="K78" s="119">
        <f t="shared" si="51"/>
        <v>1.1412502447018646E-2</v>
      </c>
      <c r="L78" s="119">
        <f t="shared" si="51"/>
        <v>2.8360501110626317E-2</v>
      </c>
      <c r="M78" s="119">
        <f t="shared" ref="M78:R78" si="52">+M63</f>
        <v>7.367421106190894E-2</v>
      </c>
      <c r="N78" s="119">
        <f t="shared" si="52"/>
        <v>0.13914462156427335</v>
      </c>
      <c r="O78" s="119">
        <f t="shared" si="52"/>
        <v>0.19962146374848314</v>
      </c>
      <c r="P78" s="119">
        <f t="shared" si="52"/>
        <v>0.26099000605745842</v>
      </c>
      <c r="Q78" s="119">
        <f t="shared" si="52"/>
        <v>0.32021098568716605</v>
      </c>
      <c r="R78" s="119">
        <f t="shared" si="52"/>
        <v>0.37977473589705452</v>
      </c>
      <c r="S78" s="119">
        <f t="shared" ref="S78:AA78" si="53">S63</f>
        <v>0.43963047601823213</v>
      </c>
      <c r="T78" s="119">
        <f t="shared" si="53"/>
        <v>0.49948621613940974</v>
      </c>
      <c r="U78" s="119">
        <f t="shared" si="53"/>
        <v>0.56005831093475744</v>
      </c>
      <c r="V78" s="119">
        <f t="shared" si="53"/>
        <v>0.62063040573010519</v>
      </c>
      <c r="W78" s="119">
        <f t="shared" si="53"/>
        <v>0.68120250052545295</v>
      </c>
      <c r="X78" s="119">
        <f t="shared" si="53"/>
        <v>0.73909791034418715</v>
      </c>
      <c r="Y78" s="119">
        <f t="shared" si="53"/>
        <v>0.79699332016292135</v>
      </c>
      <c r="Z78" s="119">
        <f t="shared" si="53"/>
        <v>0.85520983245491733</v>
      </c>
      <c r="AA78" s="119">
        <f t="shared" si="53"/>
        <v>0.91250814579958095</v>
      </c>
      <c r="AB78" s="119"/>
      <c r="AC78" s="119"/>
      <c r="AD78" s="119">
        <f>AD63</f>
        <v>0.99999999999999978</v>
      </c>
      <c r="AE78" s="120"/>
    </row>
    <row r="79" spans="1:34" ht="14.25" customHeight="1" x14ac:dyDescent="0.25">
      <c r="A79" s="1"/>
      <c r="B79" s="1"/>
      <c r="C79" s="1"/>
      <c r="D79" s="2"/>
      <c r="E79" s="3"/>
      <c r="G79" s="115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spans="1:34" ht="14.25" customHeight="1" x14ac:dyDescent="0.25">
      <c r="B80" s="121"/>
      <c r="C80" s="1"/>
      <c r="D80" s="122"/>
      <c r="E80" s="3"/>
      <c r="G80" s="123"/>
      <c r="H80" s="12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spans="2:31" ht="14.25" hidden="1" customHeight="1" x14ac:dyDescent="0.25">
      <c r="B81" s="1"/>
      <c r="C81" s="1"/>
      <c r="D81" s="2"/>
      <c r="E81" s="3"/>
      <c r="G81" s="1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2:31" ht="14.25" hidden="1" customHeight="1" x14ac:dyDescent="0.25">
      <c r="B82" s="1"/>
      <c r="C82" s="1"/>
      <c r="D82" s="2"/>
      <c r="E82" s="3"/>
      <c r="G82" s="1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2:31" ht="14.25" hidden="1" customHeight="1" x14ac:dyDescent="0.25">
      <c r="B83" s="1"/>
      <c r="C83" s="1"/>
      <c r="D83" s="2"/>
      <c r="E83" s="3"/>
      <c r="G83" s="1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2:31" ht="14.25" hidden="1" customHeight="1" x14ac:dyDescent="0.25">
      <c r="B84" s="1"/>
      <c r="C84" s="1"/>
      <c r="D84" s="2"/>
      <c r="E84" s="3"/>
      <c r="G84" s="1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2:31" ht="14.25" hidden="1" customHeight="1" x14ac:dyDescent="0.25">
      <c r="B85" s="1"/>
      <c r="C85" s="1"/>
      <c r="D85" s="125">
        <f>294676.2+449310.51+1235707.05+546973.57+640832.94+22655.71+60022.92+275399.28</f>
        <v>3525578.1799999997</v>
      </c>
      <c r="E85" s="3"/>
      <c r="G85" s="1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2:31" ht="14.25" hidden="1" customHeight="1" x14ac:dyDescent="0.25">
      <c r="B86" s="1"/>
      <c r="C86" s="1"/>
      <c r="D86" s="2"/>
      <c r="E86" s="3"/>
      <c r="G86" s="1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2:31" ht="14.25" hidden="1" customHeight="1" x14ac:dyDescent="0.25">
      <c r="B87" s="1"/>
      <c r="C87" s="1"/>
      <c r="D87" s="2"/>
      <c r="E87" s="3"/>
      <c r="G87" s="1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spans="2:31" ht="14.25" hidden="1" customHeight="1" x14ac:dyDescent="0.25">
      <c r="B88" s="1"/>
      <c r="C88" s="1"/>
      <c r="D88" s="2"/>
      <c r="E88" s="3"/>
      <c r="G88" s="1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spans="2:31" ht="14.25" hidden="1" customHeight="1" x14ac:dyDescent="0.25">
      <c r="B89" s="1"/>
      <c r="C89" s="1"/>
      <c r="D89" s="2"/>
      <c r="E89" s="3"/>
      <c r="G89" s="1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spans="2:31" ht="14.25" hidden="1" customHeight="1" x14ac:dyDescent="0.25">
      <c r="B90" s="1"/>
      <c r="C90" s="1"/>
      <c r="D90" s="2"/>
      <c r="E90" s="3"/>
      <c r="G90" s="1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spans="2:31" ht="14.25" hidden="1" customHeight="1" x14ac:dyDescent="0.25">
      <c r="B91" s="1"/>
      <c r="C91" s="1"/>
      <c r="D91" s="2"/>
      <c r="E91" s="3"/>
      <c r="G91" s="1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2:31" ht="14.25" hidden="1" customHeight="1" x14ac:dyDescent="0.25">
      <c r="B92" s="1"/>
      <c r="C92" s="1"/>
      <c r="D92" s="2"/>
      <c r="E92" s="3"/>
      <c r="G92" s="1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2:31" ht="14.25" hidden="1" customHeight="1" x14ac:dyDescent="0.25">
      <c r="B93" s="1"/>
      <c r="C93" s="1"/>
      <c r="D93" s="2"/>
      <c r="E93" s="3"/>
      <c r="G93" s="1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2:31" ht="14.25" hidden="1" customHeight="1" x14ac:dyDescent="0.25">
      <c r="B94" s="1"/>
      <c r="C94" s="1"/>
      <c r="D94" s="2"/>
      <c r="E94" s="3"/>
      <c r="G94" s="1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spans="2:31" ht="14.25" hidden="1" customHeight="1" x14ac:dyDescent="0.25">
      <c r="B95" s="1"/>
      <c r="C95" s="1"/>
      <c r="D95" s="2"/>
      <c r="E95" s="3"/>
      <c r="G95" s="1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2:31" ht="14.25" hidden="1" customHeight="1" x14ac:dyDescent="0.25">
      <c r="B96" s="1"/>
      <c r="C96" s="1"/>
      <c r="D96" s="2"/>
      <c r="E96" s="3"/>
      <c r="G96" s="1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spans="2:31" ht="14.25" hidden="1" customHeight="1" x14ac:dyDescent="0.25">
      <c r="B97" s="1"/>
      <c r="C97" s="1"/>
      <c r="D97" s="2"/>
      <c r="E97" s="3"/>
      <c r="G97" s="1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2:31" ht="14.25" hidden="1" customHeight="1" x14ac:dyDescent="0.25">
      <c r="B98" s="1"/>
      <c r="C98" s="1"/>
      <c r="D98" s="2"/>
      <c r="E98" s="3"/>
      <c r="G98" s="1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spans="2:31" ht="14.25" hidden="1" customHeight="1" x14ac:dyDescent="0.25">
      <c r="B99" s="1"/>
      <c r="C99" s="1"/>
      <c r="D99" s="2"/>
      <c r="E99" s="3"/>
      <c r="G99" s="1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spans="2:31" ht="14.25" hidden="1" customHeight="1" x14ac:dyDescent="0.25">
      <c r="B100" s="1"/>
      <c r="C100" s="1"/>
      <c r="D100" s="2"/>
      <c r="E100" s="3"/>
      <c r="G100" s="1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spans="2:31" ht="14.25" hidden="1" customHeight="1" x14ac:dyDescent="0.25">
      <c r="B101" s="1"/>
      <c r="C101" s="1"/>
      <c r="D101" s="2"/>
      <c r="E101" s="3"/>
      <c r="G101" s="1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spans="2:31" ht="14.25" hidden="1" customHeight="1" x14ac:dyDescent="0.25">
      <c r="B102" s="1"/>
      <c r="C102" s="1"/>
      <c r="D102" s="2"/>
      <c r="E102" s="3"/>
      <c r="G102" s="1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spans="2:31" ht="14.25" hidden="1" customHeight="1" x14ac:dyDescent="0.25">
      <c r="B103" s="1"/>
      <c r="C103" s="1"/>
      <c r="D103" s="2"/>
      <c r="E103" s="3"/>
      <c r="G103" s="1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2:31" ht="14.25" hidden="1" customHeight="1" x14ac:dyDescent="0.25">
      <c r="B104" s="1"/>
      <c r="C104" s="1"/>
      <c r="D104" s="2"/>
      <c r="E104" s="3"/>
      <c r="G104" s="1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spans="2:31" ht="14.25" hidden="1" customHeight="1" x14ac:dyDescent="0.25">
      <c r="B105" s="1"/>
      <c r="C105" s="1"/>
      <c r="D105" s="2"/>
      <c r="E105" s="3"/>
      <c r="G105" s="1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spans="2:31" ht="14.25" hidden="1" customHeight="1" x14ac:dyDescent="0.25">
      <c r="B106" s="1"/>
      <c r="C106" s="1"/>
      <c r="D106" s="2"/>
      <c r="E106" s="3"/>
      <c r="G106" s="1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spans="2:31" ht="14.25" hidden="1" customHeight="1" x14ac:dyDescent="0.25">
      <c r="B107" s="1"/>
      <c r="C107" s="1"/>
      <c r="D107" s="2"/>
      <c r="E107" s="3"/>
      <c r="G107" s="1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spans="2:31" ht="14.25" hidden="1" customHeight="1" x14ac:dyDescent="0.25">
      <c r="B108" s="1"/>
      <c r="C108" s="1"/>
      <c r="D108" s="2"/>
      <c r="E108" s="3"/>
      <c r="G108" s="1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spans="2:31" ht="14.25" hidden="1" customHeight="1" x14ac:dyDescent="0.25">
      <c r="B109" s="1"/>
      <c r="C109" s="1"/>
      <c r="D109" s="2"/>
      <c r="E109" s="3"/>
      <c r="G109" s="1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spans="2:31" ht="14.25" hidden="1" customHeight="1" x14ac:dyDescent="0.25">
      <c r="B110" s="1"/>
      <c r="C110" s="1"/>
      <c r="D110" s="2"/>
      <c r="E110" s="3"/>
      <c r="G110" s="1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spans="2:31" ht="14.25" hidden="1" customHeight="1" x14ac:dyDescent="0.25">
      <c r="B111" s="1"/>
      <c r="C111" s="1"/>
      <c r="D111" s="2"/>
      <c r="E111" s="3"/>
      <c r="G111" s="1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2:31" ht="14.25" hidden="1" customHeight="1" x14ac:dyDescent="0.25">
      <c r="B112" s="1"/>
      <c r="C112" s="1"/>
      <c r="D112" s="2"/>
      <c r="E112" s="3"/>
      <c r="G112" s="1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spans="2:31" ht="14.25" hidden="1" customHeight="1" x14ac:dyDescent="0.25">
      <c r="B113" s="1"/>
      <c r="C113" s="1"/>
      <c r="D113" s="2"/>
      <c r="E113" s="3"/>
      <c r="G113" s="1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2:31" ht="14.25" hidden="1" customHeight="1" x14ac:dyDescent="0.25">
      <c r="B114" s="1"/>
      <c r="C114" s="1"/>
      <c r="D114" s="2"/>
      <c r="E114" s="3"/>
      <c r="G114" s="1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spans="2:31" ht="14.25" hidden="1" customHeight="1" x14ac:dyDescent="0.25">
      <c r="B115" s="1"/>
      <c r="C115" s="1"/>
      <c r="D115" s="2"/>
      <c r="E115" s="3"/>
      <c r="G115" s="1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spans="2:31" ht="14.25" hidden="1" customHeight="1" x14ac:dyDescent="0.25">
      <c r="B116" s="1"/>
      <c r="C116" s="1"/>
      <c r="D116" s="2"/>
      <c r="E116" s="3"/>
      <c r="G116" s="1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spans="2:31" ht="14.25" hidden="1" customHeight="1" x14ac:dyDescent="0.25">
      <c r="B117" s="1"/>
      <c r="C117" s="1"/>
      <c r="D117" s="2"/>
      <c r="E117" s="3"/>
      <c r="G117" s="1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spans="2:31" ht="14.25" hidden="1" customHeight="1" x14ac:dyDescent="0.25">
      <c r="B118" s="1"/>
      <c r="C118" s="1"/>
      <c r="D118" s="2"/>
      <c r="E118" s="3"/>
      <c r="G118" s="1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spans="2:31" ht="14.25" hidden="1" customHeight="1" x14ac:dyDescent="0.25">
      <c r="B119" s="1"/>
      <c r="C119" s="1"/>
      <c r="D119" s="2"/>
      <c r="E119" s="3"/>
      <c r="G119" s="1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spans="2:31" ht="14.25" hidden="1" customHeight="1" x14ac:dyDescent="0.25">
      <c r="B120" s="1"/>
      <c r="C120" s="1"/>
      <c r="D120" s="2"/>
      <c r="E120" s="3"/>
      <c r="G120" s="1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spans="2:31" ht="14.25" hidden="1" customHeight="1" x14ac:dyDescent="0.25">
      <c r="B121" s="1"/>
      <c r="C121" s="1"/>
      <c r="D121" s="2"/>
      <c r="E121" s="3"/>
      <c r="G121" s="1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spans="2:31" ht="14.25" hidden="1" customHeight="1" x14ac:dyDescent="0.25">
      <c r="B122" s="1"/>
      <c r="C122" s="1"/>
      <c r="D122" s="2"/>
      <c r="E122" s="3"/>
      <c r="G122" s="1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spans="2:31" ht="14.25" hidden="1" customHeight="1" x14ac:dyDescent="0.25">
      <c r="B123" s="1"/>
      <c r="C123" s="1"/>
      <c r="D123" s="2"/>
      <c r="E123" s="3"/>
      <c r="G123" s="1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spans="2:31" ht="14.25" hidden="1" customHeight="1" x14ac:dyDescent="0.25">
      <c r="B124" s="1"/>
      <c r="C124" s="1"/>
      <c r="D124" s="2"/>
      <c r="E124" s="3"/>
      <c r="G124" s="1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spans="2:31" ht="14.25" hidden="1" customHeight="1" x14ac:dyDescent="0.25">
      <c r="B125" s="1"/>
      <c r="C125" s="1"/>
      <c r="D125" s="2"/>
      <c r="E125" s="3"/>
      <c r="G125" s="1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spans="2:31" ht="14.25" hidden="1" customHeight="1" x14ac:dyDescent="0.25">
      <c r="B126" s="1"/>
      <c r="C126" s="1"/>
      <c r="D126" s="2"/>
      <c r="E126" s="3"/>
      <c r="G126" s="1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spans="2:31" ht="14.25" hidden="1" customHeight="1" x14ac:dyDescent="0.25">
      <c r="B127" s="1"/>
      <c r="C127" s="1"/>
      <c r="D127" s="2"/>
      <c r="E127" s="3"/>
      <c r="G127" s="1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spans="2:31" ht="14.25" hidden="1" customHeight="1" x14ac:dyDescent="0.25">
      <c r="B128" s="1"/>
      <c r="C128" s="1"/>
      <c r="D128" s="2"/>
      <c r="E128" s="3"/>
      <c r="G128" s="1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spans="2:31" ht="14.25" hidden="1" customHeight="1" x14ac:dyDescent="0.25">
      <c r="B129" s="1"/>
      <c r="C129" s="1"/>
      <c r="D129" s="2"/>
      <c r="E129" s="3"/>
      <c r="G129" s="1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spans="2:31" ht="14.25" hidden="1" customHeight="1" x14ac:dyDescent="0.25">
      <c r="B130" s="1"/>
      <c r="C130" s="1"/>
      <c r="D130" s="2"/>
      <c r="E130" s="3"/>
      <c r="G130" s="1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spans="2:31" ht="14.25" hidden="1" customHeight="1" x14ac:dyDescent="0.25">
      <c r="B131" s="1"/>
      <c r="C131" s="1"/>
      <c r="D131" s="2"/>
      <c r="E131" s="3"/>
      <c r="G131" s="1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spans="2:31" ht="14.25" hidden="1" customHeight="1" x14ac:dyDescent="0.25">
      <c r="B132" s="1"/>
      <c r="C132" s="1"/>
      <c r="D132" s="2"/>
      <c r="E132" s="3"/>
      <c r="G132" s="1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spans="2:31" ht="14.25" hidden="1" customHeight="1" x14ac:dyDescent="0.25">
      <c r="B133" s="1"/>
      <c r="C133" s="1"/>
      <c r="D133" s="2"/>
      <c r="E133" s="3"/>
      <c r="G133" s="1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2:31" ht="14.25" hidden="1" customHeight="1" x14ac:dyDescent="0.25">
      <c r="B134" s="1"/>
      <c r="C134" s="1"/>
      <c r="D134" s="2"/>
      <c r="E134" s="3"/>
      <c r="G134" s="1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spans="2:31" ht="14.25" hidden="1" customHeight="1" x14ac:dyDescent="0.25">
      <c r="B135" s="1"/>
      <c r="C135" s="1"/>
      <c r="D135" s="2"/>
      <c r="E135" s="3"/>
      <c r="G135" s="1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spans="2:31" ht="14.25" hidden="1" customHeight="1" x14ac:dyDescent="0.25">
      <c r="B136" s="1"/>
      <c r="C136" s="1"/>
      <c r="D136" s="2"/>
      <c r="E136" s="3"/>
      <c r="G136" s="1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spans="2:31" ht="14.25" hidden="1" customHeight="1" x14ac:dyDescent="0.25">
      <c r="B137" s="1"/>
      <c r="C137" s="1"/>
      <c r="D137" s="2"/>
      <c r="E137" s="3"/>
      <c r="G137" s="1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spans="2:31" ht="14.25" hidden="1" customHeight="1" x14ac:dyDescent="0.25">
      <c r="B138" s="1"/>
      <c r="C138" s="1"/>
      <c r="D138" s="2"/>
      <c r="E138" s="3"/>
      <c r="G138" s="1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spans="2:31" ht="14.25" hidden="1" customHeight="1" x14ac:dyDescent="0.25">
      <c r="B139" s="1"/>
      <c r="C139" s="1"/>
      <c r="D139" s="2"/>
      <c r="E139" s="3"/>
      <c r="G139" s="1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spans="2:31" ht="14.25" hidden="1" customHeight="1" x14ac:dyDescent="0.25">
      <c r="B140" s="1"/>
      <c r="C140" s="1"/>
      <c r="D140" s="2"/>
      <c r="E140" s="3"/>
      <c r="G140" s="1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spans="2:31" ht="14.25" hidden="1" customHeight="1" x14ac:dyDescent="0.25">
      <c r="B141" s="1"/>
      <c r="C141" s="1"/>
      <c r="D141" s="2"/>
      <c r="E141" s="3"/>
      <c r="G141" s="1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spans="2:31" ht="14.25" hidden="1" customHeight="1" x14ac:dyDescent="0.25">
      <c r="B142" s="1"/>
      <c r="C142" s="1"/>
      <c r="D142" s="2"/>
      <c r="E142" s="3"/>
      <c r="G142" s="1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spans="2:31" ht="14.25" hidden="1" customHeight="1" x14ac:dyDescent="0.25">
      <c r="B143" s="1"/>
      <c r="C143" s="1"/>
      <c r="D143" s="2"/>
      <c r="E143" s="3"/>
      <c r="G143" s="1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spans="2:31" ht="14.25" hidden="1" customHeight="1" x14ac:dyDescent="0.25">
      <c r="B144" s="1"/>
      <c r="C144" s="1"/>
      <c r="D144" s="2"/>
      <c r="E144" s="3"/>
      <c r="G144" s="1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spans="2:31" ht="14.25" hidden="1" customHeight="1" x14ac:dyDescent="0.25">
      <c r="B145" s="1"/>
      <c r="C145" s="1"/>
      <c r="D145" s="2"/>
      <c r="E145" s="3"/>
      <c r="G145" s="1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spans="2:31" ht="14.25" hidden="1" customHeight="1" x14ac:dyDescent="0.25">
      <c r="B146" s="1"/>
      <c r="C146" s="1"/>
      <c r="D146" s="2"/>
      <c r="E146" s="3"/>
      <c r="G146" s="1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spans="2:31" ht="14.25" hidden="1" customHeight="1" x14ac:dyDescent="0.25">
      <c r="B147" s="1"/>
      <c r="C147" s="1"/>
      <c r="D147" s="2"/>
      <c r="E147" s="3"/>
      <c r="G147" s="1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spans="2:31" ht="14.25" hidden="1" customHeight="1" x14ac:dyDescent="0.25">
      <c r="B148" s="1"/>
      <c r="C148" s="1"/>
      <c r="D148" s="2"/>
      <c r="E148" s="3"/>
      <c r="G148" s="1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spans="2:31" ht="14.25" hidden="1" customHeight="1" x14ac:dyDescent="0.25">
      <c r="B149" s="1"/>
      <c r="C149" s="1"/>
      <c r="D149" s="2"/>
      <c r="E149" s="3"/>
      <c r="G149" s="1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2:31" ht="14.25" hidden="1" customHeight="1" x14ac:dyDescent="0.25">
      <c r="B150" s="1"/>
      <c r="C150" s="1"/>
      <c r="D150" s="2"/>
      <c r="E150" s="3"/>
      <c r="G150" s="1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spans="2:31" ht="14.25" hidden="1" customHeight="1" x14ac:dyDescent="0.25">
      <c r="B151" s="1"/>
      <c r="C151" s="1"/>
      <c r="D151" s="2"/>
      <c r="E151" s="3"/>
      <c r="G151" s="1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spans="2:31" ht="14.25" hidden="1" customHeight="1" x14ac:dyDescent="0.25">
      <c r="B152" s="1"/>
      <c r="C152" s="1"/>
      <c r="D152" s="2"/>
      <c r="E152" s="3"/>
      <c r="G152" s="1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spans="2:31" ht="14.25" hidden="1" customHeight="1" x14ac:dyDescent="0.25">
      <c r="B153" s="1"/>
      <c r="C153" s="1"/>
      <c r="D153" s="2"/>
      <c r="E153" s="3"/>
      <c r="G153" s="1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spans="2:31" ht="14.25" hidden="1" customHeight="1" x14ac:dyDescent="0.25">
      <c r="B154" s="1"/>
      <c r="C154" s="1"/>
      <c r="D154" s="2"/>
      <c r="E154" s="3"/>
      <c r="G154" s="1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spans="2:31" ht="14.25" hidden="1" customHeight="1" x14ac:dyDescent="0.25">
      <c r="B155" s="1"/>
      <c r="C155" s="1"/>
      <c r="D155" s="2"/>
      <c r="E155" s="3"/>
      <c r="G155" s="1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spans="2:31" ht="14.25" hidden="1" customHeight="1" x14ac:dyDescent="0.25">
      <c r="B156" s="1"/>
      <c r="C156" s="1"/>
      <c r="D156" s="2"/>
      <c r="E156" s="3"/>
      <c r="G156" s="1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spans="2:31" ht="14.25" hidden="1" customHeight="1" x14ac:dyDescent="0.25">
      <c r="B157" s="1"/>
      <c r="C157" s="1"/>
      <c r="D157" s="2"/>
      <c r="E157" s="3"/>
      <c r="G157" s="1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spans="2:31" ht="14.25" hidden="1" customHeight="1" x14ac:dyDescent="0.25">
      <c r="B158" s="1"/>
      <c r="C158" s="1"/>
      <c r="D158" s="2"/>
      <c r="E158" s="3"/>
      <c r="G158" s="1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spans="2:31" ht="14.25" hidden="1" customHeight="1" x14ac:dyDescent="0.25">
      <c r="B159" s="1"/>
      <c r="C159" s="1"/>
      <c r="D159" s="2"/>
      <c r="E159" s="3"/>
      <c r="G159" s="1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2:31" ht="14.25" hidden="1" customHeight="1" x14ac:dyDescent="0.25">
      <c r="B160" s="1"/>
      <c r="C160" s="1"/>
      <c r="D160" s="2"/>
      <c r="E160" s="3"/>
      <c r="G160" s="1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spans="2:31" ht="14.25" hidden="1" customHeight="1" x14ac:dyDescent="0.25">
      <c r="B161" s="1"/>
      <c r="C161" s="1"/>
      <c r="D161" s="2"/>
      <c r="E161" s="3"/>
      <c r="G161" s="1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spans="2:31" ht="14.25" hidden="1" customHeight="1" x14ac:dyDescent="0.25">
      <c r="B162" s="1"/>
      <c r="C162" s="1"/>
      <c r="D162" s="2"/>
      <c r="E162" s="3"/>
      <c r="G162" s="1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spans="2:31" ht="14.25" hidden="1" customHeight="1" x14ac:dyDescent="0.25">
      <c r="B163" s="1"/>
      <c r="C163" s="1"/>
      <c r="D163" s="2"/>
      <c r="E163" s="3"/>
      <c r="G163" s="1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spans="2:31" ht="14.25" hidden="1" customHeight="1" x14ac:dyDescent="0.25">
      <c r="B164" s="1"/>
      <c r="C164" s="1"/>
      <c r="D164" s="2"/>
      <c r="E164" s="3"/>
      <c r="G164" s="1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spans="2:31" ht="14.25" hidden="1" customHeight="1" x14ac:dyDescent="0.25">
      <c r="B165" s="1"/>
      <c r="C165" s="1"/>
      <c r="D165" s="2"/>
      <c r="E165" s="3"/>
      <c r="G165" s="1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spans="2:31" ht="14.25" hidden="1" customHeight="1" x14ac:dyDescent="0.25">
      <c r="B166" s="1"/>
      <c r="C166" s="1"/>
      <c r="D166" s="2"/>
      <c r="E166" s="3"/>
      <c r="G166" s="1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spans="2:31" ht="14.25" hidden="1" customHeight="1" x14ac:dyDescent="0.25">
      <c r="B167" s="1"/>
      <c r="C167" s="1"/>
      <c r="D167" s="2"/>
      <c r="E167" s="3"/>
      <c r="G167" s="1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spans="2:31" ht="14.25" hidden="1" customHeight="1" x14ac:dyDescent="0.25">
      <c r="B168" s="1"/>
      <c r="C168" s="1"/>
      <c r="D168" s="2"/>
      <c r="E168" s="3"/>
      <c r="G168" s="1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spans="2:31" ht="14.25" hidden="1" customHeight="1" x14ac:dyDescent="0.25">
      <c r="B169" s="1"/>
      <c r="C169" s="1"/>
      <c r="D169" s="2"/>
      <c r="E169" s="3"/>
      <c r="G169" s="1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spans="2:31" ht="14.25" hidden="1" customHeight="1" x14ac:dyDescent="0.25">
      <c r="B170" s="1"/>
      <c r="C170" s="1"/>
      <c r="D170" s="2"/>
      <c r="E170" s="3"/>
      <c r="G170" s="1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spans="2:31" ht="14.25" hidden="1" customHeight="1" x14ac:dyDescent="0.25">
      <c r="B171" s="1"/>
      <c r="C171" s="1"/>
      <c r="D171" s="2"/>
      <c r="E171" s="3"/>
      <c r="G171" s="1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spans="2:31" ht="14.25" hidden="1" customHeight="1" x14ac:dyDescent="0.25">
      <c r="B172" s="1"/>
      <c r="C172" s="1"/>
      <c r="D172" s="2"/>
      <c r="E172" s="3"/>
      <c r="G172" s="1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spans="2:31" ht="14.25" hidden="1" customHeight="1" x14ac:dyDescent="0.25">
      <c r="B173" s="1"/>
      <c r="C173" s="1"/>
      <c r="D173" s="2"/>
      <c r="E173" s="3"/>
      <c r="G173" s="1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spans="2:31" ht="14.25" hidden="1" customHeight="1" x14ac:dyDescent="0.25">
      <c r="B174" s="1"/>
      <c r="C174" s="1"/>
      <c r="D174" s="2"/>
      <c r="E174" s="3"/>
      <c r="G174" s="1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spans="2:31" ht="14.25" hidden="1" customHeight="1" x14ac:dyDescent="0.25">
      <c r="B175" s="1"/>
      <c r="C175" s="1"/>
      <c r="D175" s="2"/>
      <c r="E175" s="3"/>
      <c r="G175" s="1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spans="2:31" ht="14.25" hidden="1" customHeight="1" x14ac:dyDescent="0.25">
      <c r="B176" s="1"/>
      <c r="C176" s="1"/>
      <c r="D176" s="2"/>
      <c r="E176" s="3"/>
      <c r="G176" s="1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spans="2:31" ht="14.25" hidden="1" customHeight="1" x14ac:dyDescent="0.25">
      <c r="B177" s="1"/>
      <c r="C177" s="1"/>
      <c r="D177" s="2"/>
      <c r="E177" s="3"/>
      <c r="G177" s="1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spans="2:31" ht="14.25" hidden="1" customHeight="1" x14ac:dyDescent="0.25">
      <c r="B178" s="1"/>
      <c r="C178" s="1"/>
      <c r="D178" s="2"/>
      <c r="E178" s="3"/>
      <c r="G178" s="1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spans="2:31" ht="14.25" hidden="1" customHeight="1" x14ac:dyDescent="0.25">
      <c r="B179" s="1"/>
      <c r="C179" s="1"/>
      <c r="D179" s="2"/>
      <c r="E179" s="3"/>
      <c r="G179" s="1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spans="2:31" ht="14.25" hidden="1" customHeight="1" x14ac:dyDescent="0.25">
      <c r="B180" s="1"/>
      <c r="C180" s="1"/>
      <c r="D180" s="2"/>
      <c r="E180" s="3"/>
      <c r="G180" s="1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spans="2:31" ht="14.25" hidden="1" customHeight="1" x14ac:dyDescent="0.25">
      <c r="B181" s="1"/>
      <c r="C181" s="1"/>
      <c r="D181" s="2"/>
      <c r="E181" s="3"/>
      <c r="G181" s="1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2:31" ht="14.25" hidden="1" customHeight="1" x14ac:dyDescent="0.25">
      <c r="B182" s="1"/>
      <c r="C182" s="1"/>
      <c r="D182" s="2"/>
      <c r="E182" s="3"/>
      <c r="G182" s="1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spans="2:31" ht="14.25" hidden="1" customHeight="1" x14ac:dyDescent="0.25">
      <c r="B183" s="1"/>
      <c r="C183" s="1"/>
      <c r="D183" s="2"/>
      <c r="E183" s="3"/>
      <c r="G183" s="1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spans="2:31" ht="14.25" hidden="1" customHeight="1" x14ac:dyDescent="0.25">
      <c r="B184" s="1"/>
      <c r="C184" s="1"/>
      <c r="D184" s="2"/>
      <c r="E184" s="3"/>
      <c r="G184" s="1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spans="2:31" ht="14.25" hidden="1" customHeight="1" x14ac:dyDescent="0.25">
      <c r="B185" s="1"/>
      <c r="C185" s="1"/>
      <c r="D185" s="2"/>
      <c r="E185" s="3"/>
      <c r="G185" s="1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spans="2:31" ht="14.25" hidden="1" customHeight="1" x14ac:dyDescent="0.25">
      <c r="B186" s="1"/>
      <c r="C186" s="1"/>
      <c r="D186" s="2"/>
      <c r="E186" s="3"/>
      <c r="G186" s="1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spans="2:31" ht="14.25" hidden="1" customHeight="1" x14ac:dyDescent="0.25">
      <c r="B187" s="1"/>
      <c r="C187" s="1"/>
      <c r="D187" s="2"/>
      <c r="E187" s="3"/>
      <c r="G187" s="1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spans="2:31" ht="14.25" hidden="1" customHeight="1" x14ac:dyDescent="0.25">
      <c r="B188" s="1"/>
      <c r="C188" s="1"/>
      <c r="D188" s="2"/>
      <c r="E188" s="3"/>
      <c r="G188" s="1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spans="2:31" ht="14.25" hidden="1" customHeight="1" x14ac:dyDescent="0.25">
      <c r="B189" s="1"/>
      <c r="C189" s="1"/>
      <c r="D189" s="2"/>
      <c r="E189" s="3"/>
      <c r="G189" s="1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spans="2:31" ht="14.25" hidden="1" customHeight="1" x14ac:dyDescent="0.25">
      <c r="B190" s="1"/>
      <c r="C190" s="1"/>
      <c r="D190" s="2"/>
      <c r="E190" s="3"/>
      <c r="G190" s="1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spans="2:31" ht="14.25" hidden="1" customHeight="1" x14ac:dyDescent="0.25">
      <c r="B191" s="1"/>
      <c r="C191" s="1"/>
      <c r="D191" s="2"/>
      <c r="E191" s="3"/>
      <c r="G191" s="1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spans="2:31" ht="14.25" hidden="1" customHeight="1" x14ac:dyDescent="0.25">
      <c r="B192" s="1"/>
      <c r="C192" s="1"/>
      <c r="D192" s="2"/>
      <c r="E192" s="3"/>
      <c r="G192" s="1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spans="2:31" ht="14.25" hidden="1" customHeight="1" x14ac:dyDescent="0.25">
      <c r="B193" s="1"/>
      <c r="C193" s="1"/>
      <c r="D193" s="2"/>
      <c r="E193" s="3"/>
      <c r="G193" s="1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spans="2:31" ht="14.25" hidden="1" customHeight="1" x14ac:dyDescent="0.25">
      <c r="B194" s="1"/>
      <c r="C194" s="1"/>
      <c r="D194" s="2"/>
      <c r="E194" s="3"/>
      <c r="G194" s="1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spans="2:31" ht="14.25" hidden="1" customHeight="1" x14ac:dyDescent="0.25">
      <c r="B195" s="1"/>
      <c r="C195" s="1"/>
      <c r="D195" s="2"/>
      <c r="E195" s="3"/>
      <c r="G195" s="1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spans="2:31" ht="14.25" hidden="1" customHeight="1" x14ac:dyDescent="0.25">
      <c r="B196" s="1"/>
      <c r="C196" s="1"/>
      <c r="D196" s="2"/>
      <c r="E196" s="3"/>
      <c r="G196" s="1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spans="2:31" ht="14.25" hidden="1" customHeight="1" x14ac:dyDescent="0.25">
      <c r="B197" s="1"/>
      <c r="C197" s="1"/>
      <c r="D197" s="2"/>
      <c r="E197" s="3"/>
      <c r="G197" s="1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spans="2:31" ht="14.25" hidden="1" customHeight="1" x14ac:dyDescent="0.25">
      <c r="B198" s="1"/>
      <c r="C198" s="1"/>
      <c r="D198" s="2"/>
      <c r="E198" s="3"/>
      <c r="G198" s="1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spans="2:31" ht="14.25" hidden="1" customHeight="1" x14ac:dyDescent="0.25">
      <c r="B199" s="1"/>
      <c r="C199" s="1"/>
      <c r="D199" s="2"/>
      <c r="E199" s="3"/>
      <c r="G199" s="1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spans="2:31" ht="14.25" hidden="1" customHeight="1" x14ac:dyDescent="0.25">
      <c r="B200" s="1"/>
      <c r="C200" s="1"/>
      <c r="D200" s="2"/>
      <c r="E200" s="3"/>
      <c r="G200" s="1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spans="2:31" ht="14.25" hidden="1" customHeight="1" x14ac:dyDescent="0.25">
      <c r="B201" s="1"/>
      <c r="C201" s="1"/>
      <c r="D201" s="2"/>
      <c r="E201" s="3"/>
      <c r="G201" s="1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spans="2:31" ht="14.25" hidden="1" customHeight="1" x14ac:dyDescent="0.25">
      <c r="B202" s="1"/>
      <c r="C202" s="1"/>
      <c r="D202" s="2"/>
      <c r="E202" s="3"/>
      <c r="G202" s="1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spans="2:31" ht="14.25" hidden="1" customHeight="1" x14ac:dyDescent="0.25">
      <c r="B203" s="1"/>
      <c r="C203" s="1"/>
      <c r="D203" s="2"/>
      <c r="E203" s="3"/>
      <c r="G203" s="1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spans="2:31" ht="14.25" hidden="1" customHeight="1" x14ac:dyDescent="0.25">
      <c r="B204" s="1"/>
      <c r="C204" s="1"/>
      <c r="D204" s="2"/>
      <c r="E204" s="3"/>
      <c r="G204" s="1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spans="2:31" ht="14.25" hidden="1" customHeight="1" x14ac:dyDescent="0.25">
      <c r="B205" s="1"/>
      <c r="C205" s="1"/>
      <c r="D205" s="2"/>
      <c r="E205" s="3"/>
      <c r="G205" s="1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spans="2:31" ht="14.25" hidden="1" customHeight="1" x14ac:dyDescent="0.25">
      <c r="B206" s="1"/>
      <c r="C206" s="1"/>
      <c r="D206" s="2"/>
      <c r="E206" s="3"/>
      <c r="G206" s="1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spans="2:31" ht="14.25" hidden="1" customHeight="1" x14ac:dyDescent="0.25">
      <c r="B207" s="1"/>
      <c r="C207" s="1"/>
      <c r="D207" s="2"/>
      <c r="E207" s="3"/>
      <c r="G207" s="1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spans="2:31" ht="14.25" hidden="1" customHeight="1" x14ac:dyDescent="0.25">
      <c r="B208" s="1"/>
      <c r="C208" s="1"/>
      <c r="D208" s="2"/>
      <c r="E208" s="3"/>
      <c r="G208" s="1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spans="2:31" ht="14.25" hidden="1" customHeight="1" x14ac:dyDescent="0.25">
      <c r="B209" s="1"/>
      <c r="C209" s="1"/>
      <c r="D209" s="2"/>
      <c r="E209" s="3"/>
      <c r="G209" s="1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spans="2:31" ht="14.25" hidden="1" customHeight="1" x14ac:dyDescent="0.25">
      <c r="B210" s="1"/>
      <c r="C210" s="1"/>
      <c r="D210" s="2"/>
      <c r="E210" s="3"/>
      <c r="G210" s="1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spans="2:31" ht="14.25" hidden="1" customHeight="1" x14ac:dyDescent="0.25">
      <c r="B211" s="1"/>
      <c r="C211" s="1"/>
      <c r="D211" s="2"/>
      <c r="E211" s="3"/>
      <c r="G211" s="1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spans="2:31" ht="14.25" hidden="1" customHeight="1" x14ac:dyDescent="0.25">
      <c r="B212" s="1"/>
      <c r="C212" s="1"/>
      <c r="D212" s="2"/>
      <c r="E212" s="3"/>
      <c r="G212" s="1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 spans="2:31" ht="14.25" hidden="1" customHeight="1" x14ac:dyDescent="0.25">
      <c r="B213" s="1"/>
      <c r="C213" s="1"/>
      <c r="D213" s="2"/>
      <c r="E213" s="3"/>
      <c r="G213" s="1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 spans="2:31" ht="14.25" hidden="1" customHeight="1" x14ac:dyDescent="0.25">
      <c r="B214" s="1"/>
      <c r="C214" s="1"/>
      <c r="D214" s="2"/>
      <c r="E214" s="3"/>
      <c r="G214" s="1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 spans="2:31" ht="14.25" hidden="1" customHeight="1" x14ac:dyDescent="0.25">
      <c r="B215" s="1"/>
      <c r="C215" s="1"/>
      <c r="D215" s="2"/>
      <c r="E215" s="3"/>
      <c r="G215" s="1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 spans="2:31" ht="14.25" hidden="1" customHeight="1" x14ac:dyDescent="0.25">
      <c r="B216" s="1"/>
      <c r="C216" s="1"/>
      <c r="D216" s="2"/>
      <c r="E216" s="3"/>
      <c r="G216" s="1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 spans="2:31" ht="14.25" hidden="1" customHeight="1" x14ac:dyDescent="0.25">
      <c r="B217" s="1"/>
      <c r="C217" s="1"/>
      <c r="D217" s="2"/>
      <c r="E217" s="3"/>
      <c r="G217" s="1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 spans="2:31" ht="14.25" hidden="1" customHeight="1" x14ac:dyDescent="0.25">
      <c r="B218" s="1"/>
      <c r="C218" s="1"/>
      <c r="D218" s="2"/>
      <c r="E218" s="3"/>
      <c r="G218" s="1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 spans="2:31" ht="14.25" hidden="1" customHeight="1" x14ac:dyDescent="0.25">
      <c r="B219" s="1"/>
      <c r="C219" s="1"/>
      <c r="D219" s="2"/>
      <c r="E219" s="3"/>
      <c r="G219" s="1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 spans="2:31" ht="14.25" hidden="1" customHeight="1" x14ac:dyDescent="0.25">
      <c r="B220" s="1"/>
      <c r="C220" s="1"/>
      <c r="D220" s="2"/>
      <c r="E220" s="3"/>
      <c r="G220" s="1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 spans="2:31" ht="14.25" hidden="1" customHeight="1" x14ac:dyDescent="0.25">
      <c r="B221" s="1"/>
      <c r="C221" s="1"/>
      <c r="D221" s="2"/>
      <c r="E221" s="3"/>
      <c r="G221" s="1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 spans="2:31" ht="14.25" hidden="1" customHeight="1" x14ac:dyDescent="0.25">
      <c r="B222" s="1"/>
      <c r="C222" s="1"/>
      <c r="D222" s="2"/>
      <c r="E222" s="3"/>
      <c r="G222" s="1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 spans="2:31" ht="14.25" hidden="1" customHeight="1" x14ac:dyDescent="0.25">
      <c r="B223" s="1"/>
      <c r="C223" s="1"/>
      <c r="D223" s="2"/>
      <c r="E223" s="3"/>
      <c r="G223" s="1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 spans="2:31" ht="14.25" hidden="1" customHeight="1" x14ac:dyDescent="0.25">
      <c r="B224" s="1"/>
      <c r="C224" s="1"/>
      <c r="D224" s="2"/>
      <c r="E224" s="3"/>
      <c r="G224" s="1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 spans="2:31" ht="14.25" hidden="1" customHeight="1" x14ac:dyDescent="0.25">
      <c r="B225" s="1"/>
      <c r="C225" s="1"/>
      <c r="D225" s="2"/>
      <c r="E225" s="3"/>
      <c r="G225" s="1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 spans="2:31" ht="14.25" hidden="1" customHeight="1" x14ac:dyDescent="0.25">
      <c r="B226" s="1"/>
      <c r="C226" s="1"/>
      <c r="D226" s="2"/>
      <c r="E226" s="3"/>
      <c r="G226" s="1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 spans="2:31" ht="14.25" hidden="1" customHeight="1" x14ac:dyDescent="0.25">
      <c r="B227" s="1"/>
      <c r="C227" s="1"/>
      <c r="D227" s="2"/>
      <c r="E227" s="3"/>
      <c r="G227" s="1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 spans="2:31" ht="14.25" hidden="1" customHeight="1" x14ac:dyDescent="0.25">
      <c r="B228" s="1"/>
      <c r="C228" s="1"/>
      <c r="D228" s="2"/>
      <c r="E228" s="3"/>
      <c r="G228" s="1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 spans="2:31" ht="14.25" hidden="1" customHeight="1" x14ac:dyDescent="0.25">
      <c r="B229" s="1"/>
      <c r="C229" s="1"/>
      <c r="D229" s="2"/>
      <c r="E229" s="3"/>
      <c r="G229" s="1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 spans="2:31" ht="14.25" hidden="1" customHeight="1" x14ac:dyDescent="0.25">
      <c r="B230" s="1"/>
      <c r="C230" s="1"/>
      <c r="D230" s="2"/>
      <c r="E230" s="3"/>
      <c r="G230" s="1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 spans="2:31" ht="14.25" hidden="1" customHeight="1" x14ac:dyDescent="0.25">
      <c r="B231" s="1"/>
      <c r="C231" s="1"/>
      <c r="D231" s="2"/>
      <c r="E231" s="3"/>
      <c r="G231" s="1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 spans="2:31" ht="14.25" hidden="1" customHeight="1" x14ac:dyDescent="0.25">
      <c r="B232" s="1"/>
      <c r="C232" s="1"/>
      <c r="D232" s="2"/>
      <c r="E232" s="3"/>
      <c r="G232" s="1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 spans="2:31" ht="14.25" hidden="1" customHeight="1" x14ac:dyDescent="0.25">
      <c r="B233" s="1"/>
      <c r="C233" s="1"/>
      <c r="D233" s="2"/>
      <c r="E233" s="3"/>
      <c r="G233" s="1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 spans="2:31" ht="14.25" hidden="1" customHeight="1" x14ac:dyDescent="0.25">
      <c r="B234" s="1"/>
      <c r="C234" s="1"/>
      <c r="D234" s="2"/>
      <c r="E234" s="3"/>
      <c r="G234" s="1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 spans="2:31" ht="14.25" hidden="1" customHeight="1" x14ac:dyDescent="0.25">
      <c r="B235" s="1"/>
      <c r="C235" s="1"/>
      <c r="D235" s="2"/>
      <c r="E235" s="3"/>
      <c r="G235" s="1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spans="2:31" ht="14.25" hidden="1" customHeight="1" x14ac:dyDescent="0.25">
      <c r="B236" s="1"/>
      <c r="C236" s="1"/>
      <c r="D236" s="2"/>
      <c r="E236" s="3"/>
      <c r="G236" s="1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 spans="2:31" ht="14.25" hidden="1" customHeight="1" x14ac:dyDescent="0.25">
      <c r="B237" s="1"/>
      <c r="C237" s="1"/>
      <c r="D237" s="2"/>
      <c r="E237" s="3"/>
      <c r="G237" s="1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 spans="2:31" ht="14.25" hidden="1" customHeight="1" x14ac:dyDescent="0.25">
      <c r="B238" s="1"/>
      <c r="C238" s="1"/>
      <c r="D238" s="2"/>
      <c r="E238" s="3"/>
      <c r="G238" s="1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 spans="2:31" ht="14.25" hidden="1" customHeight="1" x14ac:dyDescent="0.25">
      <c r="B239" s="1"/>
      <c r="C239" s="1"/>
      <c r="D239" s="2"/>
      <c r="E239" s="3"/>
      <c r="G239" s="1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 spans="2:31" ht="14.25" hidden="1" customHeight="1" x14ac:dyDescent="0.25">
      <c r="B240" s="1"/>
      <c r="C240" s="1"/>
      <c r="D240" s="2"/>
      <c r="E240" s="3"/>
      <c r="G240" s="1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 spans="2:31" ht="14.25" hidden="1" customHeight="1" x14ac:dyDescent="0.25">
      <c r="B241" s="1"/>
      <c r="C241" s="1"/>
      <c r="D241" s="2"/>
      <c r="E241" s="3"/>
      <c r="G241" s="1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 spans="2:31" ht="14.25" hidden="1" customHeight="1" x14ac:dyDescent="0.25">
      <c r="B242" s="1"/>
      <c r="C242" s="1"/>
      <c r="D242" s="2"/>
      <c r="E242" s="3"/>
      <c r="G242" s="1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 spans="2:31" ht="14.25" hidden="1" customHeight="1" x14ac:dyDescent="0.25">
      <c r="B243" s="1"/>
      <c r="C243" s="1"/>
      <c r="D243" s="2"/>
      <c r="E243" s="3"/>
      <c r="G243" s="1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 spans="2:31" ht="14.25" hidden="1" customHeight="1" x14ac:dyDescent="0.25">
      <c r="B244" s="1"/>
      <c r="C244" s="1"/>
      <c r="D244" s="2"/>
      <c r="E244" s="3"/>
      <c r="G244" s="1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 spans="2:31" ht="14.25" hidden="1" customHeight="1" x14ac:dyDescent="0.25">
      <c r="B245" s="1"/>
      <c r="C245" s="1"/>
      <c r="D245" s="2"/>
      <c r="E245" s="3"/>
      <c r="G245" s="1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 spans="2:31" ht="14.25" hidden="1" customHeight="1" x14ac:dyDescent="0.25">
      <c r="B246" s="1"/>
      <c r="C246" s="1"/>
      <c r="D246" s="2"/>
      <c r="E246" s="3"/>
      <c r="G246" s="1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 spans="2:31" ht="14.25" hidden="1" customHeight="1" x14ac:dyDescent="0.25">
      <c r="B247" s="1"/>
      <c r="C247" s="1"/>
      <c r="D247" s="2"/>
      <c r="E247" s="3"/>
      <c r="G247" s="1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 spans="2:31" ht="14.25" hidden="1" customHeight="1" x14ac:dyDescent="0.25">
      <c r="B248" s="1"/>
      <c r="C248" s="1"/>
      <c r="D248" s="2"/>
      <c r="E248" s="3"/>
      <c r="G248" s="1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r="249" spans="2:31" ht="14.25" hidden="1" customHeight="1" x14ac:dyDescent="0.25">
      <c r="B249" s="1"/>
      <c r="C249" s="1"/>
      <c r="D249" s="2"/>
      <c r="E249" s="3"/>
      <c r="G249" s="1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 spans="2:31" ht="14.25" hidden="1" customHeight="1" x14ac:dyDescent="0.25">
      <c r="B250" s="1"/>
      <c r="C250" s="1"/>
      <c r="D250" s="2"/>
      <c r="E250" s="3"/>
      <c r="G250" s="1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r="251" spans="2:31" ht="14.25" hidden="1" customHeight="1" x14ac:dyDescent="0.25">
      <c r="B251" s="1"/>
      <c r="C251" s="1"/>
      <c r="D251" s="2"/>
      <c r="E251" s="3"/>
      <c r="G251" s="1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 spans="2:31" ht="14.25" hidden="1" customHeight="1" x14ac:dyDescent="0.25">
      <c r="B252" s="1"/>
      <c r="C252" s="1"/>
      <c r="D252" s="2"/>
      <c r="E252" s="3"/>
      <c r="G252" s="1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 spans="2:31" ht="14.25" hidden="1" customHeight="1" x14ac:dyDescent="0.25">
      <c r="B253" s="1"/>
      <c r="C253" s="1"/>
      <c r="D253" s="2"/>
      <c r="E253" s="3"/>
      <c r="G253" s="1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 spans="2:31" ht="14.25" hidden="1" customHeight="1" x14ac:dyDescent="0.25">
      <c r="B254" s="1"/>
      <c r="C254" s="1"/>
      <c r="D254" s="2"/>
      <c r="E254" s="3"/>
      <c r="G254" s="1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 spans="2:31" ht="14.25" hidden="1" customHeight="1" x14ac:dyDescent="0.25">
      <c r="B255" s="1"/>
      <c r="C255" s="1"/>
      <c r="D255" s="2"/>
      <c r="E255" s="3"/>
      <c r="G255" s="1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 spans="2:31" ht="14.25" hidden="1" customHeight="1" x14ac:dyDescent="0.25">
      <c r="B256" s="1"/>
      <c r="C256" s="1"/>
      <c r="D256" s="2"/>
      <c r="E256" s="3"/>
      <c r="G256" s="1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 spans="2:31" ht="14.25" hidden="1" customHeight="1" x14ac:dyDescent="0.25">
      <c r="B257" s="1"/>
      <c r="C257" s="1"/>
      <c r="D257" s="2"/>
      <c r="E257" s="3"/>
      <c r="G257" s="1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 spans="2:31" ht="14.25" hidden="1" customHeight="1" x14ac:dyDescent="0.25">
      <c r="B258" s="1"/>
      <c r="C258" s="1"/>
      <c r="D258" s="2"/>
      <c r="E258" s="3"/>
      <c r="G258" s="1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 spans="2:31" ht="14.25" hidden="1" customHeight="1" x14ac:dyDescent="0.25">
      <c r="B259" s="1"/>
      <c r="C259" s="1"/>
      <c r="D259" s="2"/>
      <c r="E259" s="3"/>
      <c r="G259" s="1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 spans="2:31" ht="14.25" hidden="1" customHeight="1" x14ac:dyDescent="0.25">
      <c r="B260" s="1"/>
      <c r="C260" s="1"/>
      <c r="D260" s="2"/>
      <c r="E260" s="3"/>
      <c r="G260" s="1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 spans="2:31" ht="14.25" hidden="1" customHeight="1" x14ac:dyDescent="0.25">
      <c r="B261" s="1"/>
      <c r="C261" s="1"/>
      <c r="D261" s="2"/>
      <c r="E261" s="3"/>
      <c r="G261" s="1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 spans="2:31" ht="14.25" hidden="1" customHeight="1" x14ac:dyDescent="0.25">
      <c r="B262" s="1"/>
      <c r="C262" s="1"/>
      <c r="D262" s="2"/>
      <c r="E262" s="3"/>
      <c r="G262" s="1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r="263" spans="2:31" ht="14.25" hidden="1" customHeight="1" x14ac:dyDescent="0.25">
      <c r="B263" s="1"/>
      <c r="C263" s="1"/>
      <c r="D263" s="2"/>
      <c r="E263" s="3"/>
      <c r="G263" s="1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 spans="2:31" ht="14.25" hidden="1" customHeight="1" x14ac:dyDescent="0.25">
      <c r="B264" s="1"/>
      <c r="C264" s="1"/>
      <c r="D264" s="2"/>
      <c r="E264" s="3"/>
      <c r="G264" s="1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 spans="2:31" ht="14.25" hidden="1" customHeight="1" x14ac:dyDescent="0.25">
      <c r="B265" s="1"/>
      <c r="C265" s="1"/>
      <c r="D265" s="2"/>
      <c r="E265" s="3"/>
      <c r="G265" s="1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 spans="2:31" ht="14.25" hidden="1" customHeight="1" x14ac:dyDescent="0.25">
      <c r="B266" s="1"/>
      <c r="C266" s="1"/>
      <c r="D266" s="2"/>
      <c r="E266" s="3"/>
      <c r="G266" s="1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r="267" spans="2:31" ht="14.25" hidden="1" customHeight="1" x14ac:dyDescent="0.25">
      <c r="B267" s="1"/>
      <c r="C267" s="1"/>
      <c r="D267" s="2"/>
      <c r="E267" s="3"/>
      <c r="G267" s="1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r="268" spans="2:31" ht="14.25" hidden="1" customHeight="1" x14ac:dyDescent="0.25">
      <c r="B268" s="1"/>
      <c r="C268" s="1"/>
      <c r="D268" s="2"/>
      <c r="E268" s="3"/>
      <c r="G268" s="1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r="269" spans="2:31" ht="14.25" hidden="1" customHeight="1" x14ac:dyDescent="0.25">
      <c r="B269" s="1"/>
      <c r="C269" s="1"/>
      <c r="D269" s="2"/>
      <c r="E269" s="3"/>
      <c r="G269" s="1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</row>
    <row r="270" spans="2:31" ht="14.25" hidden="1" customHeight="1" x14ac:dyDescent="0.25">
      <c r="B270" s="1"/>
      <c r="C270" s="1"/>
      <c r="D270" s="2"/>
      <c r="E270" s="3"/>
      <c r="G270" s="1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r="271" spans="2:31" ht="14.25" hidden="1" customHeight="1" x14ac:dyDescent="0.25">
      <c r="B271" s="1"/>
      <c r="C271" s="1"/>
      <c r="D271" s="2"/>
      <c r="E271" s="3"/>
      <c r="G271" s="1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r="272" spans="2:31" ht="14.25" hidden="1" customHeight="1" x14ac:dyDescent="0.25">
      <c r="B272" s="1"/>
      <c r="C272" s="1"/>
      <c r="D272" s="2"/>
      <c r="E272" s="3"/>
      <c r="G272" s="1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r="273" spans="2:31" ht="14.25" hidden="1" customHeight="1" x14ac:dyDescent="0.25">
      <c r="B273" s="1"/>
      <c r="C273" s="1"/>
      <c r="D273" s="2"/>
      <c r="E273" s="3"/>
      <c r="G273" s="1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 spans="2:31" ht="14.25" hidden="1" customHeight="1" x14ac:dyDescent="0.25">
      <c r="B274" s="1"/>
      <c r="C274" s="1"/>
      <c r="D274" s="2"/>
      <c r="E274" s="3"/>
      <c r="G274" s="1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r="275" spans="2:31" ht="14.25" hidden="1" customHeight="1" x14ac:dyDescent="0.25">
      <c r="B275" s="1"/>
      <c r="C275" s="1"/>
      <c r="D275" s="2"/>
      <c r="E275" s="3"/>
      <c r="G275" s="1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 spans="2:31" ht="14.25" hidden="1" customHeight="1" x14ac:dyDescent="0.25">
      <c r="B276" s="1"/>
      <c r="C276" s="1"/>
      <c r="D276" s="2"/>
      <c r="E276" s="3"/>
      <c r="G276" s="1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r="277" spans="2:31" ht="14.25" hidden="1" customHeight="1" x14ac:dyDescent="0.25">
      <c r="B277" s="1"/>
      <c r="C277" s="1"/>
      <c r="D277" s="2"/>
      <c r="E277" s="3"/>
      <c r="G277" s="1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 spans="2:31" ht="14.25" hidden="1" customHeight="1" x14ac:dyDescent="0.25">
      <c r="B278" s="1"/>
      <c r="C278" s="1"/>
      <c r="D278" s="2"/>
      <c r="E278" s="3"/>
      <c r="G278" s="1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r="279" spans="2:31" ht="14.25" hidden="1" customHeight="1" x14ac:dyDescent="0.25">
      <c r="B279" s="1"/>
      <c r="C279" s="1"/>
      <c r="D279" s="2"/>
      <c r="E279" s="3"/>
      <c r="G279" s="1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 spans="2:31" ht="14.25" hidden="1" customHeight="1" x14ac:dyDescent="0.25">
      <c r="B280" s="1"/>
      <c r="C280" s="1"/>
      <c r="D280" s="2"/>
      <c r="E280" s="3"/>
      <c r="G280" s="1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r="281" spans="2:31" ht="14.25" hidden="1" customHeight="1" x14ac:dyDescent="0.25">
      <c r="B281" s="1"/>
      <c r="C281" s="1"/>
      <c r="D281" s="2"/>
      <c r="E281" s="3"/>
      <c r="G281" s="1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 spans="2:31" ht="14.25" hidden="1" customHeight="1" x14ac:dyDescent="0.25">
      <c r="B282" s="1"/>
      <c r="C282" s="1"/>
      <c r="D282" s="2"/>
      <c r="E282" s="3"/>
      <c r="G282" s="1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r="283" spans="2:31" ht="14.25" hidden="1" customHeight="1" x14ac:dyDescent="0.25">
      <c r="B283" s="1"/>
      <c r="C283" s="1"/>
      <c r="D283" s="2"/>
      <c r="E283" s="3"/>
      <c r="G283" s="1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 spans="2:31" ht="14.25" hidden="1" customHeight="1" x14ac:dyDescent="0.25">
      <c r="B284" s="1"/>
      <c r="C284" s="1"/>
      <c r="D284" s="2"/>
      <c r="E284" s="3"/>
      <c r="G284" s="1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r="285" spans="2:31" ht="14.25" hidden="1" customHeight="1" x14ac:dyDescent="0.25">
      <c r="B285" s="1"/>
      <c r="C285" s="1"/>
      <c r="D285" s="2"/>
      <c r="E285" s="3"/>
      <c r="G285" s="1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 spans="2:31" ht="14.25" hidden="1" customHeight="1" x14ac:dyDescent="0.25">
      <c r="B286" s="1"/>
      <c r="C286" s="1"/>
      <c r="D286" s="2"/>
      <c r="E286" s="3"/>
      <c r="G286" s="1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 spans="2:31" ht="14.25" hidden="1" customHeight="1" x14ac:dyDescent="0.25">
      <c r="B287" s="1"/>
      <c r="C287" s="1"/>
      <c r="D287" s="2"/>
      <c r="E287" s="3"/>
      <c r="G287" s="1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 spans="2:31" ht="14.25" hidden="1" customHeight="1" x14ac:dyDescent="0.25">
      <c r="B288" s="1"/>
      <c r="C288" s="1"/>
      <c r="D288" s="2"/>
      <c r="E288" s="3"/>
      <c r="G288" s="1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 spans="2:31" ht="14.25" hidden="1" customHeight="1" x14ac:dyDescent="0.25">
      <c r="B289" s="1"/>
      <c r="C289" s="1"/>
      <c r="D289" s="2"/>
      <c r="E289" s="3"/>
      <c r="G289" s="1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 spans="2:31" ht="14.25" hidden="1" customHeight="1" x14ac:dyDescent="0.25">
      <c r="B290" s="1"/>
      <c r="C290" s="1"/>
      <c r="D290" s="2"/>
      <c r="E290" s="3"/>
      <c r="G290" s="1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 spans="2:31" ht="14.25" hidden="1" customHeight="1" x14ac:dyDescent="0.25">
      <c r="B291" s="1"/>
      <c r="C291" s="1"/>
      <c r="D291" s="2"/>
      <c r="E291" s="3"/>
      <c r="G291" s="1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 spans="2:31" ht="14.25" hidden="1" customHeight="1" x14ac:dyDescent="0.25">
      <c r="B292" s="1"/>
      <c r="C292" s="1"/>
      <c r="D292" s="2"/>
      <c r="E292" s="3"/>
      <c r="G292" s="1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r="293" spans="2:31" ht="14.25" hidden="1" customHeight="1" x14ac:dyDescent="0.25">
      <c r="B293" s="1"/>
      <c r="C293" s="1"/>
      <c r="D293" s="2"/>
      <c r="E293" s="3"/>
      <c r="G293" s="1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 spans="2:31" ht="14.25" hidden="1" customHeight="1" x14ac:dyDescent="0.25">
      <c r="B294" s="1"/>
      <c r="C294" s="1"/>
      <c r="D294" s="2"/>
      <c r="E294" s="3"/>
      <c r="G294" s="1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r="295" spans="2:31" ht="14.25" hidden="1" customHeight="1" x14ac:dyDescent="0.25">
      <c r="B295" s="1"/>
      <c r="C295" s="1"/>
      <c r="D295" s="2"/>
      <c r="E295" s="3"/>
      <c r="G295" s="1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 spans="2:31" ht="14.25" hidden="1" customHeight="1" x14ac:dyDescent="0.25">
      <c r="B296" s="1"/>
      <c r="C296" s="1"/>
      <c r="D296" s="2"/>
      <c r="E296" s="3"/>
      <c r="G296" s="1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r="297" spans="2:31" ht="14.25" hidden="1" customHeight="1" x14ac:dyDescent="0.25">
      <c r="B297" s="1"/>
      <c r="C297" s="1"/>
      <c r="D297" s="2"/>
      <c r="E297" s="3"/>
      <c r="G297" s="1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</row>
    <row r="298" spans="2:31" ht="14.25" hidden="1" customHeight="1" x14ac:dyDescent="0.25">
      <c r="B298" s="1"/>
      <c r="C298" s="1"/>
      <c r="D298" s="2"/>
      <c r="E298" s="3"/>
      <c r="G298" s="1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r="299" spans="2:31" ht="14.25" hidden="1" customHeight="1" x14ac:dyDescent="0.25">
      <c r="B299" s="1"/>
      <c r="C299" s="1"/>
      <c r="D299" s="2"/>
      <c r="E299" s="3"/>
      <c r="G299" s="1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r="300" spans="2:31" ht="14.25" hidden="1" customHeight="1" x14ac:dyDescent="0.25">
      <c r="B300" s="1"/>
      <c r="C300" s="1"/>
      <c r="D300" s="2"/>
      <c r="E300" s="3"/>
      <c r="G300" s="1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r="301" spans="2:31" ht="14.25" hidden="1" customHeight="1" x14ac:dyDescent="0.25">
      <c r="B301" s="1"/>
      <c r="C301" s="1"/>
      <c r="D301" s="2"/>
      <c r="E301" s="3"/>
      <c r="G301" s="1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2:31" ht="14.25" hidden="1" customHeight="1" x14ac:dyDescent="0.25">
      <c r="B302" s="1"/>
      <c r="C302" s="1"/>
      <c r="D302" s="2"/>
      <c r="E302" s="3"/>
      <c r="G302" s="1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2:31" ht="14.25" hidden="1" customHeight="1" x14ac:dyDescent="0.25">
      <c r="B303" s="1"/>
      <c r="C303" s="1"/>
      <c r="D303" s="2"/>
      <c r="E303" s="3"/>
      <c r="G303" s="1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 spans="2:31" ht="14.25" hidden="1" customHeight="1" x14ac:dyDescent="0.25">
      <c r="B304" s="1"/>
      <c r="C304" s="1"/>
      <c r="D304" s="2"/>
      <c r="E304" s="3"/>
      <c r="G304" s="1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r="305" spans="2:31" ht="14.25" hidden="1" customHeight="1" x14ac:dyDescent="0.25">
      <c r="B305" s="1"/>
      <c r="C305" s="1"/>
      <c r="D305" s="2"/>
      <c r="E305" s="3"/>
      <c r="G305" s="1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</row>
    <row r="306" spans="2:31" ht="14.25" hidden="1" customHeight="1" x14ac:dyDescent="0.25">
      <c r="B306" s="1"/>
      <c r="C306" s="1"/>
      <c r="D306" s="2"/>
      <c r="E306" s="3"/>
      <c r="G306" s="1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</row>
    <row r="307" spans="2:31" ht="14.25" hidden="1" customHeight="1" x14ac:dyDescent="0.25">
      <c r="B307" s="1"/>
      <c r="C307" s="1"/>
      <c r="D307" s="2"/>
      <c r="E307" s="3"/>
      <c r="G307" s="1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r="308" spans="2:31" ht="14.25" hidden="1" customHeight="1" x14ac:dyDescent="0.25">
      <c r="B308" s="1"/>
      <c r="C308" s="1"/>
      <c r="D308" s="2"/>
      <c r="E308" s="3"/>
      <c r="G308" s="1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</row>
    <row r="309" spans="2:31" ht="14.25" hidden="1" customHeight="1" x14ac:dyDescent="0.25">
      <c r="B309" s="1"/>
      <c r="C309" s="1"/>
      <c r="D309" s="2"/>
      <c r="E309" s="3"/>
      <c r="G309" s="1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r="310" spans="2:31" ht="14.25" hidden="1" customHeight="1" x14ac:dyDescent="0.25">
      <c r="B310" s="1"/>
      <c r="C310" s="1"/>
      <c r="D310" s="2"/>
      <c r="E310" s="3"/>
      <c r="G310" s="1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r="311" spans="2:31" ht="14.25" hidden="1" customHeight="1" x14ac:dyDescent="0.25">
      <c r="B311" s="1"/>
      <c r="C311" s="1"/>
      <c r="D311" s="2"/>
      <c r="E311" s="3"/>
      <c r="G311" s="1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 spans="2:31" ht="14.25" hidden="1" customHeight="1" x14ac:dyDescent="0.25">
      <c r="B312" s="1"/>
      <c r="C312" s="1"/>
      <c r="D312" s="2"/>
      <c r="E312" s="3"/>
      <c r="G312" s="1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 spans="2:31" ht="14.25" hidden="1" customHeight="1" x14ac:dyDescent="0.25">
      <c r="B313" s="1"/>
      <c r="C313" s="1"/>
      <c r="D313" s="2"/>
      <c r="E313" s="3"/>
      <c r="G313" s="1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 spans="2:31" ht="14.25" hidden="1" customHeight="1" x14ac:dyDescent="0.25">
      <c r="B314" s="1"/>
      <c r="C314" s="1"/>
      <c r="D314" s="2"/>
      <c r="E314" s="3"/>
      <c r="G314" s="1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 spans="2:31" ht="14.25" hidden="1" customHeight="1" x14ac:dyDescent="0.25">
      <c r="B315" s="1"/>
      <c r="C315" s="1"/>
      <c r="D315" s="2"/>
      <c r="E315" s="3"/>
      <c r="G315" s="1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 spans="2:31" ht="14.25" hidden="1" customHeight="1" x14ac:dyDescent="0.25">
      <c r="B316" s="1"/>
      <c r="C316" s="1"/>
      <c r="D316" s="2"/>
      <c r="E316" s="3"/>
      <c r="G316" s="1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 spans="2:31" ht="14.25" hidden="1" customHeight="1" x14ac:dyDescent="0.25">
      <c r="B317" s="1"/>
      <c r="C317" s="1"/>
      <c r="D317" s="2"/>
      <c r="E317" s="3"/>
      <c r="G317" s="1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 spans="2:31" ht="14.25" hidden="1" customHeight="1" x14ac:dyDescent="0.25">
      <c r="B318" s="1"/>
      <c r="C318" s="1"/>
      <c r="D318" s="2"/>
      <c r="E318" s="3"/>
      <c r="G318" s="1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 spans="2:31" ht="14.25" hidden="1" customHeight="1" x14ac:dyDescent="0.25">
      <c r="B319" s="1"/>
      <c r="C319" s="1"/>
      <c r="D319" s="2"/>
      <c r="E319" s="3"/>
      <c r="G319" s="1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 spans="2:31" ht="14.25" hidden="1" customHeight="1" x14ac:dyDescent="0.25">
      <c r="B320" s="1"/>
      <c r="C320" s="1"/>
      <c r="D320" s="2"/>
      <c r="E320" s="3"/>
      <c r="G320" s="1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r="321" spans="2:31" ht="14.25" hidden="1" customHeight="1" x14ac:dyDescent="0.25">
      <c r="B321" s="1"/>
      <c r="C321" s="1"/>
      <c r="D321" s="2"/>
      <c r="E321" s="3"/>
      <c r="G321" s="1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 spans="2:31" ht="14.25" hidden="1" customHeight="1" x14ac:dyDescent="0.25">
      <c r="B322" s="1"/>
      <c r="C322" s="1"/>
      <c r="D322" s="2"/>
      <c r="E322" s="3"/>
      <c r="G322" s="1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r="323" spans="2:31" ht="14.25" hidden="1" customHeight="1" x14ac:dyDescent="0.25">
      <c r="B323" s="1"/>
      <c r="C323" s="1"/>
      <c r="D323" s="2"/>
      <c r="E323" s="3"/>
      <c r="G323" s="1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r="324" spans="2:31" ht="14.25" hidden="1" customHeight="1" x14ac:dyDescent="0.25">
      <c r="B324" s="1"/>
      <c r="C324" s="1"/>
      <c r="D324" s="2"/>
      <c r="E324" s="3"/>
      <c r="G324" s="1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r="325" spans="2:31" ht="14.25" hidden="1" customHeight="1" x14ac:dyDescent="0.25">
      <c r="B325" s="1"/>
      <c r="C325" s="1"/>
      <c r="D325" s="2"/>
      <c r="E325" s="3"/>
      <c r="G325" s="1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r="326" spans="2:31" ht="14.25" hidden="1" customHeight="1" x14ac:dyDescent="0.25">
      <c r="B326" s="1"/>
      <c r="C326" s="1"/>
      <c r="D326" s="2"/>
      <c r="E326" s="3"/>
      <c r="G326" s="1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r="327" spans="2:31" ht="14.25" hidden="1" customHeight="1" x14ac:dyDescent="0.25">
      <c r="B327" s="1"/>
      <c r="C327" s="1"/>
      <c r="D327" s="2"/>
      <c r="E327" s="3"/>
      <c r="G327" s="1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 spans="2:31" ht="14.25" hidden="1" customHeight="1" x14ac:dyDescent="0.25">
      <c r="B328" s="1"/>
      <c r="C328" s="1"/>
      <c r="D328" s="2"/>
      <c r="E328" s="3"/>
      <c r="G328" s="1"/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</row>
    <row r="329" spans="2:31" ht="14.25" hidden="1" customHeight="1" x14ac:dyDescent="0.25">
      <c r="B329" s="1"/>
      <c r="C329" s="1"/>
      <c r="D329" s="2"/>
      <c r="E329" s="3"/>
      <c r="G329" s="1"/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 spans="2:31" ht="14.25" hidden="1" customHeight="1" x14ac:dyDescent="0.25">
      <c r="B330" s="1"/>
      <c r="C330" s="1"/>
      <c r="D330" s="2"/>
      <c r="E330" s="3"/>
      <c r="G330" s="1"/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r="331" spans="2:31" ht="14.25" hidden="1" customHeight="1" x14ac:dyDescent="0.25">
      <c r="B331" s="1"/>
      <c r="C331" s="1"/>
      <c r="D331" s="2"/>
      <c r="E331" s="3"/>
      <c r="G331" s="1"/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 spans="2:31" ht="14.25" hidden="1" customHeight="1" x14ac:dyDescent="0.25">
      <c r="B332" s="1"/>
      <c r="C332" s="1"/>
      <c r="D332" s="2"/>
      <c r="E332" s="3"/>
      <c r="G332" s="1"/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 spans="2:31" ht="14.25" hidden="1" customHeight="1" x14ac:dyDescent="0.25">
      <c r="B333" s="1"/>
      <c r="C333" s="1"/>
      <c r="D333" s="2"/>
      <c r="E333" s="3"/>
      <c r="G333" s="1"/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 spans="2:31" ht="14.25" hidden="1" customHeight="1" x14ac:dyDescent="0.25">
      <c r="B334" s="1"/>
      <c r="C334" s="1"/>
      <c r="D334" s="2"/>
      <c r="E334" s="3"/>
      <c r="G334" s="1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 spans="2:31" ht="14.25" hidden="1" customHeight="1" x14ac:dyDescent="0.25">
      <c r="B335" s="1"/>
      <c r="C335" s="1"/>
      <c r="D335" s="2"/>
      <c r="E335" s="3"/>
      <c r="G335" s="1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 spans="2:31" ht="14.25" hidden="1" customHeight="1" x14ac:dyDescent="0.25">
      <c r="B336" s="1"/>
      <c r="C336" s="1"/>
      <c r="D336" s="2"/>
      <c r="E336" s="3"/>
      <c r="G336" s="1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 spans="2:31" ht="14.25" hidden="1" customHeight="1" x14ac:dyDescent="0.25">
      <c r="B337" s="1"/>
      <c r="C337" s="1"/>
      <c r="D337" s="2"/>
      <c r="E337" s="3"/>
      <c r="G337" s="1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 spans="2:31" ht="14.25" hidden="1" customHeight="1" x14ac:dyDescent="0.25">
      <c r="B338" s="1"/>
      <c r="C338" s="1"/>
      <c r="D338" s="2"/>
      <c r="E338" s="3"/>
      <c r="G338" s="1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 spans="2:31" ht="14.25" hidden="1" customHeight="1" x14ac:dyDescent="0.25">
      <c r="B339" s="1"/>
      <c r="C339" s="1"/>
      <c r="D339" s="2"/>
      <c r="E339" s="3"/>
      <c r="G339" s="1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 spans="2:31" ht="14.25" hidden="1" customHeight="1" x14ac:dyDescent="0.25">
      <c r="B340" s="1"/>
      <c r="C340" s="1"/>
      <c r="D340" s="2"/>
      <c r="E340" s="3"/>
      <c r="G340" s="1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 spans="2:31" ht="14.25" hidden="1" customHeight="1" x14ac:dyDescent="0.25">
      <c r="B341" s="1"/>
      <c r="C341" s="1"/>
      <c r="D341" s="2"/>
      <c r="E341" s="3"/>
      <c r="G341" s="1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 spans="2:31" ht="14.25" hidden="1" customHeight="1" x14ac:dyDescent="0.25">
      <c r="B342" s="1"/>
      <c r="C342" s="1"/>
      <c r="D342" s="2"/>
      <c r="E342" s="3"/>
      <c r="G342" s="1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 spans="2:31" ht="14.25" hidden="1" customHeight="1" x14ac:dyDescent="0.25">
      <c r="B343" s="1"/>
      <c r="C343" s="1"/>
      <c r="D343" s="2"/>
      <c r="E343" s="3"/>
      <c r="G343" s="1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 spans="2:31" ht="14.25" hidden="1" customHeight="1" x14ac:dyDescent="0.25">
      <c r="B344" s="1"/>
      <c r="C344" s="1"/>
      <c r="D344" s="2"/>
      <c r="E344" s="3"/>
      <c r="G344" s="1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 spans="2:31" ht="14.25" hidden="1" customHeight="1" x14ac:dyDescent="0.25">
      <c r="B345" s="1"/>
      <c r="C345" s="1"/>
      <c r="D345" s="2"/>
      <c r="E345" s="3"/>
      <c r="G345" s="1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 spans="2:31" ht="14.25" hidden="1" customHeight="1" x14ac:dyDescent="0.25">
      <c r="B346" s="1"/>
      <c r="C346" s="1"/>
      <c r="D346" s="2"/>
      <c r="E346" s="3"/>
      <c r="G346" s="1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r="347" spans="2:31" ht="14.25" hidden="1" customHeight="1" x14ac:dyDescent="0.25">
      <c r="B347" s="1"/>
      <c r="C347" s="1"/>
      <c r="D347" s="2"/>
      <c r="E347" s="3"/>
      <c r="G347" s="1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 spans="2:31" ht="14.25" hidden="1" customHeight="1" x14ac:dyDescent="0.25">
      <c r="B348" s="1"/>
      <c r="C348" s="1"/>
      <c r="D348" s="2"/>
      <c r="E348" s="3"/>
      <c r="G348" s="1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 spans="2:31" ht="14.25" hidden="1" customHeight="1" x14ac:dyDescent="0.25">
      <c r="B349" s="1"/>
      <c r="C349" s="1"/>
      <c r="D349" s="2"/>
      <c r="E349" s="3"/>
      <c r="G349" s="1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 spans="2:31" ht="14.25" hidden="1" customHeight="1" x14ac:dyDescent="0.25">
      <c r="B350" s="1"/>
      <c r="C350" s="1"/>
      <c r="D350" s="2"/>
      <c r="E350" s="3"/>
      <c r="G350" s="1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 spans="2:31" ht="14.25" hidden="1" customHeight="1" x14ac:dyDescent="0.25">
      <c r="B351" s="1"/>
      <c r="C351" s="1"/>
      <c r="D351" s="2"/>
      <c r="E351" s="3"/>
      <c r="G351" s="1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 spans="2:31" ht="14.25" hidden="1" customHeight="1" x14ac:dyDescent="0.25">
      <c r="B352" s="1"/>
      <c r="C352" s="1"/>
      <c r="D352" s="2"/>
      <c r="E352" s="3"/>
      <c r="G352" s="1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 spans="2:31" ht="14.25" hidden="1" customHeight="1" x14ac:dyDescent="0.25">
      <c r="B353" s="1"/>
      <c r="C353" s="1"/>
      <c r="D353" s="2"/>
      <c r="E353" s="3"/>
      <c r="G353" s="1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 spans="2:31" ht="14.25" hidden="1" customHeight="1" x14ac:dyDescent="0.25">
      <c r="B354" s="1"/>
      <c r="C354" s="1"/>
      <c r="D354" s="2"/>
      <c r="E354" s="3"/>
      <c r="G354" s="1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 spans="2:31" ht="14.25" hidden="1" customHeight="1" x14ac:dyDescent="0.25">
      <c r="B355" s="1"/>
      <c r="C355" s="1"/>
      <c r="D355" s="2"/>
      <c r="E355" s="3"/>
      <c r="G355" s="1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 spans="2:31" ht="14.25" hidden="1" customHeight="1" x14ac:dyDescent="0.25">
      <c r="B356" s="1"/>
      <c r="C356" s="1"/>
      <c r="D356" s="2"/>
      <c r="E356" s="3"/>
      <c r="G356" s="1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 spans="2:31" ht="14.25" hidden="1" customHeight="1" x14ac:dyDescent="0.25">
      <c r="B357" s="1"/>
      <c r="C357" s="1"/>
      <c r="D357" s="2"/>
      <c r="E357" s="3"/>
      <c r="G357" s="1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 spans="2:31" ht="14.25" hidden="1" customHeight="1" x14ac:dyDescent="0.25">
      <c r="B358" s="1"/>
      <c r="C358" s="1"/>
      <c r="D358" s="2"/>
      <c r="E358" s="3"/>
      <c r="G358" s="1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 spans="2:31" ht="14.25" hidden="1" customHeight="1" x14ac:dyDescent="0.25">
      <c r="B359" s="1"/>
      <c r="C359" s="1"/>
      <c r="D359" s="2"/>
      <c r="E359" s="3"/>
      <c r="G359" s="1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 spans="2:31" ht="14.25" hidden="1" customHeight="1" x14ac:dyDescent="0.25">
      <c r="B360" s="1"/>
      <c r="C360" s="1"/>
      <c r="D360" s="2"/>
      <c r="E360" s="3"/>
      <c r="G360" s="1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 spans="2:31" ht="14.25" hidden="1" customHeight="1" x14ac:dyDescent="0.25">
      <c r="B361" s="1"/>
      <c r="C361" s="1"/>
      <c r="D361" s="2"/>
      <c r="E361" s="3"/>
      <c r="G361" s="1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 spans="2:31" ht="14.25" hidden="1" customHeight="1" x14ac:dyDescent="0.25">
      <c r="B362" s="1"/>
      <c r="C362" s="1"/>
      <c r="D362" s="2"/>
      <c r="E362" s="3"/>
      <c r="G362" s="1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 spans="2:31" ht="14.25" hidden="1" customHeight="1" x14ac:dyDescent="0.25">
      <c r="B363" s="1"/>
      <c r="C363" s="1"/>
      <c r="D363" s="2"/>
      <c r="E363" s="3"/>
      <c r="G363" s="1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r="364" spans="2:31" ht="14.25" hidden="1" customHeight="1" x14ac:dyDescent="0.25">
      <c r="B364" s="1"/>
      <c r="C364" s="1"/>
      <c r="D364" s="2"/>
      <c r="E364" s="3"/>
      <c r="G364" s="1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r="365" spans="2:31" ht="14.25" hidden="1" customHeight="1" x14ac:dyDescent="0.25">
      <c r="B365" s="1"/>
      <c r="C365" s="1"/>
      <c r="D365" s="2"/>
      <c r="E365" s="3"/>
      <c r="G365" s="1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 spans="2:31" ht="14.25" hidden="1" customHeight="1" x14ac:dyDescent="0.25">
      <c r="B366" s="1"/>
      <c r="C366" s="1"/>
      <c r="D366" s="2"/>
      <c r="E366" s="3"/>
      <c r="G366" s="1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r="367" spans="2:31" ht="14.25" hidden="1" customHeight="1" x14ac:dyDescent="0.25">
      <c r="B367" s="1"/>
      <c r="C367" s="1"/>
      <c r="D367" s="2"/>
      <c r="E367" s="3"/>
      <c r="G367" s="1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 spans="2:31" ht="14.25" hidden="1" customHeight="1" x14ac:dyDescent="0.25">
      <c r="B368" s="1"/>
      <c r="C368" s="1"/>
      <c r="D368" s="2"/>
      <c r="E368" s="3"/>
      <c r="G368" s="1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r="369" spans="2:31" ht="14.25" hidden="1" customHeight="1" x14ac:dyDescent="0.25">
      <c r="B369" s="1"/>
      <c r="C369" s="1"/>
      <c r="D369" s="2"/>
      <c r="E369" s="3"/>
      <c r="G369" s="1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 spans="2:31" ht="14.25" hidden="1" customHeight="1" x14ac:dyDescent="0.25">
      <c r="B370" s="1"/>
      <c r="C370" s="1"/>
      <c r="D370" s="2"/>
      <c r="E370" s="3"/>
      <c r="G370" s="1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r="371" spans="2:31" ht="14.25" hidden="1" customHeight="1" x14ac:dyDescent="0.25">
      <c r="B371" s="1"/>
      <c r="C371" s="1"/>
      <c r="D371" s="2"/>
      <c r="E371" s="3"/>
      <c r="G371" s="1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  <row r="372" spans="2:31" ht="14.25" hidden="1" customHeight="1" x14ac:dyDescent="0.25">
      <c r="B372" s="1"/>
      <c r="C372" s="1"/>
      <c r="D372" s="2"/>
      <c r="E372" s="3"/>
      <c r="G372" s="1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</row>
    <row r="373" spans="2:31" ht="14.25" hidden="1" customHeight="1" x14ac:dyDescent="0.25">
      <c r="B373" s="1"/>
      <c r="C373" s="1"/>
      <c r="D373" s="2"/>
      <c r="E373" s="3"/>
      <c r="G373" s="1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</row>
    <row r="374" spans="2:31" ht="14.25" hidden="1" customHeight="1" x14ac:dyDescent="0.25">
      <c r="B374" s="1"/>
      <c r="C374" s="1"/>
      <c r="D374" s="2"/>
      <c r="E374" s="3"/>
      <c r="G374" s="1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</row>
    <row r="375" spans="2:31" ht="14.25" hidden="1" customHeight="1" x14ac:dyDescent="0.25">
      <c r="B375" s="1"/>
      <c r="C375" s="1"/>
      <c r="D375" s="2"/>
      <c r="E375" s="3"/>
      <c r="G375" s="1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r="376" spans="2:31" ht="14.25" hidden="1" customHeight="1" x14ac:dyDescent="0.25">
      <c r="B376" s="1"/>
      <c r="C376" s="1"/>
      <c r="D376" s="2"/>
      <c r="E376" s="3"/>
      <c r="G376" s="1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</row>
    <row r="377" spans="2:31" ht="14.25" hidden="1" customHeight="1" x14ac:dyDescent="0.25">
      <c r="B377" s="1"/>
      <c r="C377" s="1"/>
      <c r="D377" s="2"/>
      <c r="E377" s="3"/>
      <c r="G377" s="1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 spans="2:31" ht="14.25" hidden="1" customHeight="1" x14ac:dyDescent="0.25">
      <c r="B378" s="1"/>
      <c r="C378" s="1"/>
      <c r="D378" s="2"/>
      <c r="E378" s="3"/>
      <c r="G378" s="1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</row>
    <row r="379" spans="2:31" ht="14.25" hidden="1" customHeight="1" x14ac:dyDescent="0.25">
      <c r="B379" s="1"/>
      <c r="C379" s="1"/>
      <c r="D379" s="2"/>
      <c r="E379" s="3"/>
      <c r="G379" s="1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r="380" spans="2:31" ht="14.25" hidden="1" customHeight="1" x14ac:dyDescent="0.25">
      <c r="B380" s="1"/>
      <c r="C380" s="1"/>
      <c r="D380" s="2"/>
      <c r="E380" s="3"/>
      <c r="G380" s="1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 spans="2:31" ht="14.25" hidden="1" customHeight="1" x14ac:dyDescent="0.25">
      <c r="B381" s="1"/>
      <c r="C381" s="1"/>
      <c r="D381" s="2"/>
      <c r="E381" s="3"/>
      <c r="G381" s="1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 spans="2:31" ht="14.25" hidden="1" customHeight="1" x14ac:dyDescent="0.25">
      <c r="B382" s="1"/>
      <c r="C382" s="1"/>
      <c r="D382" s="2"/>
      <c r="E382" s="3"/>
      <c r="G382" s="1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 spans="2:31" ht="14.25" hidden="1" customHeight="1" x14ac:dyDescent="0.25">
      <c r="B383" s="1"/>
      <c r="C383" s="1"/>
      <c r="D383" s="2"/>
      <c r="E383" s="3"/>
      <c r="G383" s="1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 spans="2:31" ht="14.25" hidden="1" customHeight="1" x14ac:dyDescent="0.25">
      <c r="B384" s="1"/>
      <c r="C384" s="1"/>
      <c r="D384" s="2"/>
      <c r="E384" s="3"/>
      <c r="G384" s="1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 spans="2:31" ht="14.25" hidden="1" customHeight="1" x14ac:dyDescent="0.25">
      <c r="B385" s="1"/>
      <c r="C385" s="1"/>
      <c r="D385" s="2"/>
      <c r="E385" s="3"/>
      <c r="G385" s="1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r="386" spans="2:31" ht="14.25" hidden="1" customHeight="1" x14ac:dyDescent="0.25">
      <c r="B386" s="1"/>
      <c r="C386" s="1"/>
      <c r="D386" s="2"/>
      <c r="E386" s="3"/>
      <c r="G386" s="1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r="387" spans="2:31" ht="14.25" hidden="1" customHeight="1" x14ac:dyDescent="0.25">
      <c r="B387" s="1"/>
      <c r="C387" s="1"/>
      <c r="D387" s="2"/>
      <c r="E387" s="3"/>
      <c r="G387" s="1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 spans="2:31" ht="14.25" hidden="1" customHeight="1" x14ac:dyDescent="0.25">
      <c r="B388" s="1"/>
      <c r="C388" s="1"/>
      <c r="D388" s="2"/>
      <c r="E388" s="3"/>
      <c r="G388" s="1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r="389" spans="2:31" ht="14.25" hidden="1" customHeight="1" x14ac:dyDescent="0.25">
      <c r="B389" s="1"/>
      <c r="C389" s="1"/>
      <c r="D389" s="2"/>
      <c r="E389" s="3"/>
      <c r="G389" s="1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 spans="2:31" ht="14.25" hidden="1" customHeight="1" x14ac:dyDescent="0.25">
      <c r="B390" s="1"/>
      <c r="C390" s="1"/>
      <c r="D390" s="2"/>
      <c r="E390" s="3"/>
      <c r="G390" s="1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r="391" spans="2:31" ht="14.25" hidden="1" customHeight="1" x14ac:dyDescent="0.25">
      <c r="B391" s="1"/>
      <c r="C391" s="1"/>
      <c r="D391" s="2"/>
      <c r="E391" s="3"/>
      <c r="G391" s="1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 spans="2:31" ht="14.25" hidden="1" customHeight="1" x14ac:dyDescent="0.25">
      <c r="B392" s="1"/>
      <c r="C392" s="1"/>
      <c r="D392" s="2"/>
      <c r="E392" s="3"/>
      <c r="G392" s="1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</row>
    <row r="393" spans="2:31" ht="14.25" hidden="1" customHeight="1" x14ac:dyDescent="0.25">
      <c r="B393" s="1"/>
      <c r="C393" s="1"/>
      <c r="D393" s="2"/>
      <c r="E393" s="3"/>
      <c r="G393" s="1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</row>
    <row r="394" spans="2:31" ht="14.25" hidden="1" customHeight="1" x14ac:dyDescent="0.25">
      <c r="B394" s="1"/>
      <c r="C394" s="1"/>
      <c r="D394" s="2"/>
      <c r="E394" s="3"/>
      <c r="G394" s="1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</row>
    <row r="395" spans="2:31" ht="14.25" hidden="1" customHeight="1" x14ac:dyDescent="0.25">
      <c r="B395" s="1"/>
      <c r="C395" s="1"/>
      <c r="D395" s="2"/>
      <c r="E395" s="3"/>
      <c r="G395" s="1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</row>
    <row r="396" spans="2:31" ht="14.25" hidden="1" customHeight="1" x14ac:dyDescent="0.25">
      <c r="B396" s="1"/>
      <c r="C396" s="1"/>
      <c r="D396" s="2"/>
      <c r="E396" s="3"/>
      <c r="G396" s="1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r="397" spans="2:31" ht="14.25" hidden="1" customHeight="1" x14ac:dyDescent="0.25">
      <c r="B397" s="1"/>
      <c r="C397" s="1"/>
      <c r="D397" s="2"/>
      <c r="E397" s="3"/>
      <c r="G397" s="1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r="398" spans="2:31" ht="14.25" hidden="1" customHeight="1" x14ac:dyDescent="0.25">
      <c r="B398" s="1"/>
      <c r="C398" s="1"/>
      <c r="D398" s="2"/>
      <c r="E398" s="3"/>
      <c r="G398" s="1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r="399" spans="2:31" ht="14.25" hidden="1" customHeight="1" x14ac:dyDescent="0.25">
      <c r="B399" s="1"/>
      <c r="C399" s="1"/>
      <c r="D399" s="2"/>
      <c r="E399" s="3"/>
      <c r="G399" s="1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 spans="2:31" ht="14.25" hidden="1" customHeight="1" x14ac:dyDescent="0.25">
      <c r="B400" s="1"/>
      <c r="C400" s="1"/>
      <c r="D400" s="2"/>
      <c r="E400" s="3"/>
      <c r="G400" s="1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 spans="2:31" ht="14.25" hidden="1" customHeight="1" x14ac:dyDescent="0.25">
      <c r="B401" s="1"/>
      <c r="C401" s="1"/>
      <c r="D401" s="2"/>
      <c r="E401" s="3"/>
      <c r="G401" s="1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 spans="2:31" ht="14.25" hidden="1" customHeight="1" x14ac:dyDescent="0.25">
      <c r="B402" s="1"/>
      <c r="C402" s="1"/>
      <c r="D402" s="2"/>
      <c r="E402" s="3"/>
      <c r="G402" s="1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 spans="2:31" ht="14.25" hidden="1" customHeight="1" x14ac:dyDescent="0.25">
      <c r="B403" s="1"/>
      <c r="C403" s="1"/>
      <c r="D403" s="2"/>
      <c r="E403" s="3"/>
      <c r="G403" s="1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 spans="2:31" ht="14.25" hidden="1" customHeight="1" x14ac:dyDescent="0.25">
      <c r="B404" s="1"/>
      <c r="C404" s="1"/>
      <c r="D404" s="2"/>
      <c r="E404" s="3"/>
      <c r="G404" s="1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 spans="2:31" ht="14.25" hidden="1" customHeight="1" x14ac:dyDescent="0.25">
      <c r="B405" s="1"/>
      <c r="C405" s="1"/>
      <c r="D405" s="2"/>
      <c r="E405" s="3"/>
      <c r="G405" s="1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 spans="2:31" ht="14.25" hidden="1" customHeight="1" x14ac:dyDescent="0.25">
      <c r="B406" s="1"/>
      <c r="C406" s="1"/>
      <c r="D406" s="2"/>
      <c r="E406" s="3"/>
      <c r="G406" s="1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 spans="2:31" ht="14.25" hidden="1" customHeight="1" x14ac:dyDescent="0.25">
      <c r="B407" s="1"/>
      <c r="C407" s="1"/>
      <c r="D407" s="2"/>
      <c r="E407" s="3"/>
      <c r="G407" s="1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 spans="2:31" ht="14.25" hidden="1" customHeight="1" x14ac:dyDescent="0.25">
      <c r="B408" s="1"/>
      <c r="C408" s="1"/>
      <c r="D408" s="2"/>
      <c r="E408" s="3"/>
      <c r="G408" s="1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 spans="2:31" ht="14.25" hidden="1" customHeight="1" x14ac:dyDescent="0.25">
      <c r="B409" s="1"/>
      <c r="C409" s="1"/>
      <c r="D409" s="2"/>
      <c r="E409" s="3"/>
      <c r="G409" s="1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 spans="2:31" ht="14.25" hidden="1" customHeight="1" x14ac:dyDescent="0.25">
      <c r="B410" s="1"/>
      <c r="C410" s="1"/>
      <c r="D410" s="2"/>
      <c r="E410" s="3"/>
      <c r="G410" s="1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 spans="2:31" ht="14.25" hidden="1" customHeight="1" x14ac:dyDescent="0.25">
      <c r="B411" s="1"/>
      <c r="C411" s="1"/>
      <c r="D411" s="2"/>
      <c r="E411" s="3"/>
      <c r="G411" s="1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 spans="2:31" ht="14.25" hidden="1" customHeight="1" x14ac:dyDescent="0.25">
      <c r="B412" s="1"/>
      <c r="C412" s="1"/>
      <c r="D412" s="2"/>
      <c r="E412" s="3"/>
      <c r="G412" s="1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 spans="2:31" ht="14.25" hidden="1" customHeight="1" x14ac:dyDescent="0.25">
      <c r="B413" s="1"/>
      <c r="C413" s="1"/>
      <c r="D413" s="2"/>
      <c r="E413" s="3"/>
      <c r="G413" s="1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 spans="2:31" ht="14.25" hidden="1" customHeight="1" x14ac:dyDescent="0.25">
      <c r="B414" s="1"/>
      <c r="C414" s="1"/>
      <c r="D414" s="2"/>
      <c r="E414" s="3"/>
      <c r="G414" s="1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 spans="2:31" ht="14.25" hidden="1" customHeight="1" x14ac:dyDescent="0.25">
      <c r="B415" s="1"/>
      <c r="C415" s="1"/>
      <c r="D415" s="2"/>
      <c r="E415" s="3"/>
      <c r="G415" s="1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 spans="2:31" ht="14.25" hidden="1" customHeight="1" x14ac:dyDescent="0.25">
      <c r="B416" s="1"/>
      <c r="C416" s="1"/>
      <c r="D416" s="2"/>
      <c r="E416" s="3"/>
      <c r="G416" s="1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 spans="2:31" ht="14.25" hidden="1" customHeight="1" x14ac:dyDescent="0.25">
      <c r="B417" s="1"/>
      <c r="C417" s="1"/>
      <c r="D417" s="2"/>
      <c r="E417" s="3"/>
      <c r="G417" s="1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 spans="2:31" ht="14.25" hidden="1" customHeight="1" x14ac:dyDescent="0.25">
      <c r="B418" s="1"/>
      <c r="C418" s="1"/>
      <c r="D418" s="2"/>
      <c r="E418" s="3"/>
      <c r="G418" s="1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r="419" spans="2:31" ht="14.25" hidden="1" customHeight="1" x14ac:dyDescent="0.25">
      <c r="B419" s="1"/>
      <c r="C419" s="1"/>
      <c r="D419" s="2"/>
      <c r="E419" s="3"/>
      <c r="G419" s="1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r="420" spans="2:31" ht="14.25" hidden="1" customHeight="1" x14ac:dyDescent="0.25">
      <c r="B420" s="1"/>
      <c r="C420" s="1"/>
      <c r="D420" s="2"/>
      <c r="E420" s="3"/>
      <c r="G420" s="1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r="421" spans="2:31" ht="14.25" hidden="1" customHeight="1" x14ac:dyDescent="0.25">
      <c r="B421" s="1"/>
      <c r="C421" s="1"/>
      <c r="D421" s="2"/>
      <c r="E421" s="3"/>
      <c r="G421" s="1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 spans="2:31" ht="14.25" hidden="1" customHeight="1" x14ac:dyDescent="0.25">
      <c r="B422" s="1"/>
      <c r="C422" s="1"/>
      <c r="D422" s="2"/>
      <c r="E422" s="3"/>
      <c r="G422" s="1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r="423" spans="2:31" ht="14.25" hidden="1" customHeight="1" x14ac:dyDescent="0.25">
      <c r="B423" s="1"/>
      <c r="C423" s="1"/>
      <c r="D423" s="2"/>
      <c r="E423" s="3"/>
      <c r="G423" s="1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r="424" spans="2:31" ht="14.25" hidden="1" customHeight="1" x14ac:dyDescent="0.25">
      <c r="B424" s="1"/>
      <c r="C424" s="1"/>
      <c r="D424" s="2"/>
      <c r="E424" s="3"/>
      <c r="G424" s="1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r="425" spans="2:31" ht="14.25" hidden="1" customHeight="1" x14ac:dyDescent="0.25">
      <c r="B425" s="1"/>
      <c r="C425" s="1"/>
      <c r="D425" s="2"/>
      <c r="E425" s="3"/>
      <c r="G425" s="1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 spans="2:31" ht="14.25" hidden="1" customHeight="1" x14ac:dyDescent="0.25">
      <c r="B426" s="1"/>
      <c r="C426" s="1"/>
      <c r="D426" s="2"/>
      <c r="E426" s="3"/>
      <c r="G426" s="1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r="427" spans="2:31" ht="14.25" hidden="1" customHeight="1" x14ac:dyDescent="0.25">
      <c r="B427" s="1"/>
      <c r="C427" s="1"/>
      <c r="D427" s="2"/>
      <c r="E427" s="3"/>
      <c r="G427" s="1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r="428" spans="2:31" ht="14.25" hidden="1" customHeight="1" x14ac:dyDescent="0.25">
      <c r="B428" s="1"/>
      <c r="C428" s="1"/>
      <c r="D428" s="2"/>
      <c r="E428" s="3"/>
      <c r="G428" s="1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r="429" spans="2:31" ht="14.25" hidden="1" customHeight="1" x14ac:dyDescent="0.25">
      <c r="B429" s="1"/>
      <c r="C429" s="1"/>
      <c r="D429" s="2"/>
      <c r="E429" s="3"/>
      <c r="G429" s="1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r="430" spans="2:31" ht="14.25" hidden="1" customHeight="1" x14ac:dyDescent="0.25">
      <c r="B430" s="1"/>
      <c r="C430" s="1"/>
      <c r="D430" s="2"/>
      <c r="E430" s="3"/>
      <c r="G430" s="1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r="431" spans="2:31" ht="14.25" hidden="1" customHeight="1" x14ac:dyDescent="0.25">
      <c r="B431" s="1"/>
      <c r="C431" s="1"/>
      <c r="D431" s="2"/>
      <c r="E431" s="3"/>
      <c r="G431" s="1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 spans="2:31" ht="14.25" hidden="1" customHeight="1" x14ac:dyDescent="0.25">
      <c r="B432" s="1"/>
      <c r="C432" s="1"/>
      <c r="D432" s="2"/>
      <c r="E432" s="3"/>
      <c r="G432" s="1"/>
      <c r="H432" s="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r="433" spans="2:31" ht="14.25" hidden="1" customHeight="1" x14ac:dyDescent="0.25">
      <c r="B433" s="1"/>
      <c r="C433" s="1"/>
      <c r="D433" s="2"/>
      <c r="E433" s="3"/>
      <c r="G433" s="1"/>
      <c r="H433" s="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 spans="2:31" ht="14.25" hidden="1" customHeight="1" x14ac:dyDescent="0.25">
      <c r="B434" s="1"/>
      <c r="C434" s="1"/>
      <c r="D434" s="2"/>
      <c r="E434" s="3"/>
      <c r="G434" s="1"/>
      <c r="H434" s="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 spans="2:31" ht="14.25" hidden="1" customHeight="1" x14ac:dyDescent="0.25">
      <c r="B435" s="1"/>
      <c r="C435" s="1"/>
      <c r="D435" s="2"/>
      <c r="E435" s="3"/>
      <c r="G435" s="1"/>
      <c r="H435" s="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 spans="2:31" ht="14.25" hidden="1" customHeight="1" x14ac:dyDescent="0.25">
      <c r="B436" s="1"/>
      <c r="C436" s="1"/>
      <c r="D436" s="2"/>
      <c r="E436" s="3"/>
      <c r="G436" s="1"/>
      <c r="H436" s="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r="437" spans="2:31" ht="14.25" hidden="1" customHeight="1" x14ac:dyDescent="0.25">
      <c r="B437" s="1"/>
      <c r="C437" s="1"/>
      <c r="D437" s="2"/>
      <c r="E437" s="3"/>
      <c r="G437" s="1"/>
      <c r="H437" s="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r="438" spans="2:31" ht="14.25" hidden="1" customHeight="1" x14ac:dyDescent="0.25">
      <c r="B438" s="1"/>
      <c r="C438" s="1"/>
      <c r="D438" s="2"/>
      <c r="E438" s="3"/>
      <c r="G438" s="1"/>
      <c r="H438" s="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r="439" spans="2:31" ht="14.25" hidden="1" customHeight="1" x14ac:dyDescent="0.25">
      <c r="B439" s="1"/>
      <c r="C439" s="1"/>
      <c r="D439" s="2"/>
      <c r="E439" s="3"/>
      <c r="G439" s="1"/>
      <c r="H439" s="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r="440" spans="2:31" ht="14.25" hidden="1" customHeight="1" x14ac:dyDescent="0.25">
      <c r="B440" s="1"/>
      <c r="C440" s="1"/>
      <c r="D440" s="2"/>
      <c r="E440" s="3"/>
      <c r="G440" s="1"/>
      <c r="H440" s="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r="441" spans="2:31" ht="14.25" hidden="1" customHeight="1" x14ac:dyDescent="0.25">
      <c r="B441" s="1"/>
      <c r="C441" s="1"/>
      <c r="D441" s="2"/>
      <c r="E441" s="3"/>
      <c r="G441" s="1"/>
      <c r="H441" s="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r="442" spans="2:31" ht="14.25" hidden="1" customHeight="1" x14ac:dyDescent="0.25">
      <c r="B442" s="1"/>
      <c r="C442" s="1"/>
      <c r="D442" s="2"/>
      <c r="E442" s="3"/>
      <c r="G442" s="1"/>
      <c r="H442" s="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r="443" spans="2:31" ht="14.25" hidden="1" customHeight="1" x14ac:dyDescent="0.25">
      <c r="B443" s="1"/>
      <c r="C443" s="1"/>
      <c r="D443" s="2"/>
      <c r="E443" s="3"/>
      <c r="G443" s="1"/>
      <c r="H443" s="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 spans="2:31" ht="14.25" hidden="1" customHeight="1" x14ac:dyDescent="0.25">
      <c r="B444" s="1"/>
      <c r="C444" s="1"/>
      <c r="D444" s="2"/>
      <c r="E444" s="3"/>
      <c r="G444" s="1"/>
      <c r="H444" s="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 spans="2:31" ht="14.25" hidden="1" customHeight="1" x14ac:dyDescent="0.25">
      <c r="B445" s="1"/>
      <c r="C445" s="1"/>
      <c r="D445" s="2"/>
      <c r="E445" s="3"/>
      <c r="G445" s="1"/>
      <c r="H445" s="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 spans="2:31" ht="14.25" hidden="1" customHeight="1" x14ac:dyDescent="0.25">
      <c r="B446" s="1"/>
      <c r="C446" s="1"/>
      <c r="D446" s="2"/>
      <c r="E446" s="3"/>
      <c r="G446" s="1"/>
      <c r="H446" s="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r="447" spans="2:31" ht="14.25" hidden="1" customHeight="1" x14ac:dyDescent="0.25">
      <c r="B447" s="1"/>
      <c r="C447" s="1"/>
      <c r="D447" s="2"/>
      <c r="E447" s="3"/>
      <c r="G447" s="1"/>
      <c r="H447" s="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 spans="2:31" ht="14.25" hidden="1" customHeight="1" x14ac:dyDescent="0.25">
      <c r="B448" s="1"/>
      <c r="C448" s="1"/>
      <c r="D448" s="2"/>
      <c r="E448" s="3"/>
      <c r="G448" s="1"/>
      <c r="H448" s="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 spans="2:31" ht="14.25" hidden="1" customHeight="1" x14ac:dyDescent="0.25">
      <c r="B449" s="1"/>
      <c r="C449" s="1"/>
      <c r="D449" s="2"/>
      <c r="E449" s="3"/>
      <c r="G449" s="1"/>
      <c r="H449" s="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 spans="2:31" ht="14.25" hidden="1" customHeight="1" x14ac:dyDescent="0.25">
      <c r="B450" s="1"/>
      <c r="C450" s="1"/>
      <c r="D450" s="2"/>
      <c r="E450" s="3"/>
      <c r="G450" s="1"/>
      <c r="H450" s="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 spans="2:31" ht="14.25" hidden="1" customHeight="1" x14ac:dyDescent="0.25">
      <c r="B451" s="1"/>
      <c r="C451" s="1"/>
      <c r="D451" s="2"/>
      <c r="E451" s="3"/>
      <c r="G451" s="1"/>
      <c r="H451" s="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 spans="2:31" ht="14.25" hidden="1" customHeight="1" x14ac:dyDescent="0.25">
      <c r="B452" s="1"/>
      <c r="C452" s="1"/>
      <c r="D452" s="2"/>
      <c r="E452" s="3"/>
      <c r="G452" s="1"/>
      <c r="H452" s="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r="453" spans="2:31" ht="14.25" hidden="1" customHeight="1" x14ac:dyDescent="0.25">
      <c r="B453" s="1"/>
      <c r="C453" s="1"/>
      <c r="D453" s="2"/>
      <c r="E453" s="3"/>
      <c r="G453" s="1"/>
      <c r="H453" s="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 spans="2:31" ht="14.25" hidden="1" customHeight="1" x14ac:dyDescent="0.25">
      <c r="B454" s="1"/>
      <c r="C454" s="1"/>
      <c r="D454" s="2"/>
      <c r="E454" s="3"/>
      <c r="G454" s="1"/>
      <c r="H454" s="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 spans="2:31" ht="14.25" hidden="1" customHeight="1" x14ac:dyDescent="0.25">
      <c r="B455" s="1"/>
      <c r="C455" s="1"/>
      <c r="D455" s="2"/>
      <c r="E455" s="3"/>
      <c r="G455" s="1"/>
      <c r="H455" s="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 spans="2:31" ht="14.25" hidden="1" customHeight="1" x14ac:dyDescent="0.25">
      <c r="B456" s="1"/>
      <c r="C456" s="1"/>
      <c r="D456" s="2"/>
      <c r="E456" s="3"/>
      <c r="G456" s="1"/>
      <c r="H456" s="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r="457" spans="2:31" ht="14.25" hidden="1" customHeight="1" x14ac:dyDescent="0.25">
      <c r="B457" s="1"/>
      <c r="C457" s="1"/>
      <c r="D457" s="2"/>
      <c r="E457" s="3"/>
      <c r="G457" s="1"/>
      <c r="H457" s="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 spans="2:31" ht="14.25" hidden="1" customHeight="1" x14ac:dyDescent="0.25">
      <c r="B458" s="1"/>
      <c r="C458" s="1"/>
      <c r="D458" s="2"/>
      <c r="E458" s="3"/>
      <c r="G458" s="1"/>
      <c r="H458" s="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r="459" spans="2:31" ht="14.25" hidden="1" customHeight="1" x14ac:dyDescent="0.25">
      <c r="B459" s="1"/>
      <c r="C459" s="1"/>
      <c r="D459" s="2"/>
      <c r="E459" s="3"/>
      <c r="G459" s="1"/>
      <c r="H459" s="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 spans="2:31" ht="14.25" hidden="1" customHeight="1" x14ac:dyDescent="0.25">
      <c r="B460" s="1"/>
      <c r="C460" s="1"/>
      <c r="D460" s="2"/>
      <c r="E460" s="3"/>
      <c r="G460" s="1"/>
      <c r="H460" s="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 spans="2:31" ht="14.25" hidden="1" customHeight="1" x14ac:dyDescent="0.25">
      <c r="B461" s="1"/>
      <c r="C461" s="1"/>
      <c r="D461" s="2"/>
      <c r="E461" s="3"/>
      <c r="G461" s="1"/>
      <c r="H461" s="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 spans="2:31" ht="14.25" hidden="1" customHeight="1" x14ac:dyDescent="0.25">
      <c r="B462" s="1"/>
      <c r="C462" s="1"/>
      <c r="D462" s="2"/>
      <c r="E462" s="3"/>
      <c r="G462" s="1"/>
      <c r="H462" s="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r="463" spans="2:31" ht="14.25" hidden="1" customHeight="1" x14ac:dyDescent="0.25">
      <c r="B463" s="1"/>
      <c r="C463" s="1"/>
      <c r="D463" s="2"/>
      <c r="E463" s="3"/>
      <c r="G463" s="1"/>
      <c r="H463" s="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 spans="2:31" ht="14.25" hidden="1" customHeight="1" x14ac:dyDescent="0.25">
      <c r="B464" s="1"/>
      <c r="C464" s="1"/>
      <c r="D464" s="2"/>
      <c r="E464" s="3"/>
      <c r="G464" s="1"/>
      <c r="H464" s="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r="465" spans="2:31" ht="14.25" hidden="1" customHeight="1" x14ac:dyDescent="0.25">
      <c r="B465" s="1"/>
      <c r="C465" s="1"/>
      <c r="D465" s="2"/>
      <c r="E465" s="3"/>
      <c r="G465" s="1"/>
      <c r="H465" s="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 spans="2:31" ht="14.25" hidden="1" customHeight="1" x14ac:dyDescent="0.25">
      <c r="B466" s="1"/>
      <c r="C466" s="1"/>
      <c r="D466" s="2"/>
      <c r="E466" s="3"/>
      <c r="G466" s="1"/>
      <c r="H466" s="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r="467" spans="2:31" ht="14.25" hidden="1" customHeight="1" x14ac:dyDescent="0.25">
      <c r="B467" s="1"/>
      <c r="C467" s="1"/>
      <c r="D467" s="2"/>
      <c r="E467" s="3"/>
      <c r="G467" s="1"/>
      <c r="H467" s="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 spans="2:31" ht="14.25" hidden="1" customHeight="1" x14ac:dyDescent="0.25">
      <c r="B468" s="1"/>
      <c r="C468" s="1"/>
      <c r="D468" s="2"/>
      <c r="E468" s="3"/>
      <c r="G468" s="1"/>
      <c r="H468" s="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r="469" spans="2:31" ht="14.25" hidden="1" customHeight="1" x14ac:dyDescent="0.25">
      <c r="B469" s="1"/>
      <c r="C469" s="1"/>
      <c r="D469" s="2"/>
      <c r="E469" s="3"/>
      <c r="G469" s="1"/>
      <c r="H469" s="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 spans="2:31" ht="14.25" hidden="1" customHeight="1" x14ac:dyDescent="0.25">
      <c r="B470" s="1"/>
      <c r="C470" s="1"/>
      <c r="D470" s="2"/>
      <c r="E470" s="3"/>
      <c r="G470" s="1"/>
      <c r="H470" s="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r="471" spans="2:31" ht="14.25" hidden="1" customHeight="1" x14ac:dyDescent="0.25">
      <c r="B471" s="1"/>
      <c r="C471" s="1"/>
      <c r="D471" s="2"/>
      <c r="E471" s="3"/>
      <c r="G471" s="1"/>
      <c r="H471" s="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r="472" spans="2:31" ht="14.25" hidden="1" customHeight="1" x14ac:dyDescent="0.25">
      <c r="B472" s="1"/>
      <c r="C472" s="1"/>
      <c r="D472" s="2"/>
      <c r="E472" s="3"/>
      <c r="G472" s="1"/>
      <c r="H472" s="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r="473" spans="2:31" ht="14.25" hidden="1" customHeight="1" x14ac:dyDescent="0.25">
      <c r="B473" s="1"/>
      <c r="C473" s="1"/>
      <c r="D473" s="2"/>
      <c r="E473" s="3"/>
      <c r="G473" s="1"/>
      <c r="H473" s="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 spans="2:31" ht="14.25" hidden="1" customHeight="1" x14ac:dyDescent="0.25">
      <c r="B474" s="1"/>
      <c r="C474" s="1"/>
      <c r="D474" s="2"/>
      <c r="E474" s="3"/>
      <c r="G474" s="1"/>
      <c r="H474" s="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r="475" spans="2:31" ht="14.25" hidden="1" customHeight="1" x14ac:dyDescent="0.25">
      <c r="B475" s="1"/>
      <c r="C475" s="1"/>
      <c r="D475" s="2"/>
      <c r="E475" s="3"/>
      <c r="G475" s="1"/>
      <c r="H475" s="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 spans="2:31" ht="14.25" hidden="1" customHeight="1" x14ac:dyDescent="0.25">
      <c r="B476" s="1"/>
      <c r="C476" s="1"/>
      <c r="D476" s="2"/>
      <c r="E476" s="3"/>
      <c r="G476" s="1"/>
      <c r="H476" s="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r="477" spans="2:31" ht="14.25" hidden="1" customHeight="1" x14ac:dyDescent="0.25">
      <c r="B477" s="1"/>
      <c r="C477" s="1"/>
      <c r="D477" s="2"/>
      <c r="E477" s="3"/>
      <c r="G477" s="1"/>
      <c r="H477" s="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 spans="2:31" ht="14.25" hidden="1" customHeight="1" x14ac:dyDescent="0.25">
      <c r="B478" s="1"/>
      <c r="C478" s="1"/>
      <c r="D478" s="2"/>
      <c r="E478" s="3"/>
      <c r="G478" s="1"/>
      <c r="H478" s="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r="479" spans="2:31" ht="14.25" hidden="1" customHeight="1" x14ac:dyDescent="0.25">
      <c r="B479" s="1"/>
      <c r="C479" s="1"/>
      <c r="D479" s="2"/>
      <c r="E479" s="3"/>
      <c r="G479" s="1"/>
      <c r="H479" s="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 spans="2:31" ht="14.25" hidden="1" customHeight="1" x14ac:dyDescent="0.25">
      <c r="B480" s="1"/>
      <c r="C480" s="1"/>
      <c r="D480" s="2"/>
      <c r="E480" s="3"/>
      <c r="G480" s="1"/>
      <c r="H480" s="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r="481" spans="2:31" ht="14.25" hidden="1" customHeight="1" x14ac:dyDescent="0.25">
      <c r="B481" s="1"/>
      <c r="C481" s="1"/>
      <c r="D481" s="2"/>
      <c r="E481" s="3"/>
      <c r="G481" s="1"/>
      <c r="H481" s="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r="482" spans="2:31" ht="14.25" hidden="1" customHeight="1" x14ac:dyDescent="0.25">
      <c r="B482" s="1"/>
      <c r="C482" s="1"/>
      <c r="D482" s="2"/>
      <c r="E482" s="3"/>
      <c r="G482" s="1"/>
      <c r="H482" s="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r="483" spans="2:31" ht="14.25" hidden="1" customHeight="1" x14ac:dyDescent="0.25">
      <c r="B483" s="1"/>
      <c r="C483" s="1"/>
      <c r="D483" s="2"/>
      <c r="E483" s="3"/>
      <c r="G483" s="1"/>
      <c r="H483" s="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 spans="2:31" ht="14.25" hidden="1" customHeight="1" x14ac:dyDescent="0.25">
      <c r="B484" s="1"/>
      <c r="C484" s="1"/>
      <c r="D484" s="2"/>
      <c r="E484" s="3"/>
      <c r="G484" s="1"/>
      <c r="H484" s="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r="485" spans="2:31" ht="14.25" hidden="1" customHeight="1" x14ac:dyDescent="0.25">
      <c r="B485" s="1"/>
      <c r="C485" s="1"/>
      <c r="D485" s="2"/>
      <c r="E485" s="3"/>
      <c r="G485" s="1"/>
      <c r="H485" s="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 spans="2:31" ht="14.25" hidden="1" customHeight="1" x14ac:dyDescent="0.25">
      <c r="B486" s="1"/>
      <c r="C486" s="1"/>
      <c r="D486" s="2"/>
      <c r="E486" s="3"/>
      <c r="G486" s="1"/>
      <c r="H486" s="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r="487" spans="2:31" ht="14.25" hidden="1" customHeight="1" x14ac:dyDescent="0.25">
      <c r="B487" s="1"/>
      <c r="C487" s="1"/>
      <c r="D487" s="2"/>
      <c r="E487" s="3"/>
      <c r="G487" s="1"/>
      <c r="H487" s="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 spans="2:31" ht="14.25" hidden="1" customHeight="1" x14ac:dyDescent="0.25">
      <c r="B488" s="1"/>
      <c r="C488" s="1"/>
      <c r="D488" s="2"/>
      <c r="E488" s="3"/>
      <c r="G488" s="1"/>
      <c r="H488" s="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r="489" spans="2:31" ht="14.25" hidden="1" customHeight="1" x14ac:dyDescent="0.25">
      <c r="B489" s="1"/>
      <c r="C489" s="1"/>
      <c r="D489" s="2"/>
      <c r="E489" s="3"/>
      <c r="G489" s="1"/>
      <c r="H489" s="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r="490" spans="2:31" ht="14.25" hidden="1" customHeight="1" x14ac:dyDescent="0.25">
      <c r="B490" s="1"/>
      <c r="C490" s="1"/>
      <c r="D490" s="2"/>
      <c r="E490" s="3"/>
      <c r="G490" s="1"/>
      <c r="H490" s="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r="491" spans="2:31" ht="14.25" hidden="1" customHeight="1" x14ac:dyDescent="0.25">
      <c r="B491" s="1"/>
      <c r="C491" s="1"/>
      <c r="D491" s="2"/>
      <c r="E491" s="3"/>
      <c r="G491" s="1"/>
      <c r="H491" s="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 spans="2:31" ht="14.25" hidden="1" customHeight="1" x14ac:dyDescent="0.25">
      <c r="B492" s="1"/>
      <c r="C492" s="1"/>
      <c r="D492" s="2"/>
      <c r="E492" s="3"/>
      <c r="G492" s="1"/>
      <c r="H492" s="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r="493" spans="2:31" ht="14.25" hidden="1" customHeight="1" x14ac:dyDescent="0.25">
      <c r="B493" s="1"/>
      <c r="C493" s="1"/>
      <c r="D493" s="2"/>
      <c r="E493" s="3"/>
      <c r="G493" s="1"/>
      <c r="H493" s="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 spans="2:31" ht="14.25" hidden="1" customHeight="1" x14ac:dyDescent="0.25">
      <c r="B494" s="1"/>
      <c r="C494" s="1"/>
      <c r="D494" s="2"/>
      <c r="E494" s="3"/>
      <c r="G494" s="1"/>
      <c r="H494" s="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 spans="2:31" ht="14.25" hidden="1" customHeight="1" x14ac:dyDescent="0.25">
      <c r="B495" s="1"/>
      <c r="C495" s="1"/>
      <c r="D495" s="2"/>
      <c r="E495" s="3"/>
      <c r="G495" s="1"/>
      <c r="H495" s="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 spans="2:31" ht="14.25" hidden="1" customHeight="1" x14ac:dyDescent="0.25">
      <c r="B496" s="1"/>
      <c r="C496" s="1"/>
      <c r="D496" s="2"/>
      <c r="E496" s="3"/>
      <c r="G496" s="1"/>
      <c r="H496" s="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r="497" spans="2:31" ht="14.25" hidden="1" customHeight="1" x14ac:dyDescent="0.25">
      <c r="B497" s="1"/>
      <c r="C497" s="1"/>
      <c r="D497" s="2"/>
      <c r="E497" s="3"/>
      <c r="G497" s="1"/>
      <c r="H497" s="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r="498" spans="2:31" ht="14.25" hidden="1" customHeight="1" x14ac:dyDescent="0.25">
      <c r="B498" s="1"/>
      <c r="C498" s="1"/>
      <c r="D498" s="2"/>
      <c r="E498" s="3"/>
      <c r="G498" s="1"/>
      <c r="H498" s="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r="499" spans="2:31" ht="14.25" hidden="1" customHeight="1" x14ac:dyDescent="0.25">
      <c r="B499" s="1"/>
      <c r="C499" s="1"/>
      <c r="D499" s="2"/>
      <c r="E499" s="3"/>
      <c r="G499" s="1"/>
      <c r="H499" s="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r="500" spans="2:31" ht="14.25" hidden="1" customHeight="1" x14ac:dyDescent="0.25">
      <c r="B500" s="1"/>
      <c r="C500" s="1"/>
      <c r="D500" s="2"/>
      <c r="E500" s="3"/>
      <c r="G500" s="1"/>
      <c r="H500" s="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 spans="2:31" ht="14.25" hidden="1" customHeight="1" x14ac:dyDescent="0.25">
      <c r="B501" s="1"/>
      <c r="C501" s="1"/>
      <c r="D501" s="2"/>
      <c r="E501" s="3"/>
      <c r="G501" s="1"/>
      <c r="H501" s="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 spans="2:31" ht="14.25" hidden="1" customHeight="1" x14ac:dyDescent="0.25">
      <c r="B502" s="1"/>
      <c r="C502" s="1"/>
      <c r="D502" s="2"/>
      <c r="E502" s="3"/>
      <c r="G502" s="1"/>
      <c r="H502" s="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 spans="2:31" ht="14.25" hidden="1" customHeight="1" x14ac:dyDescent="0.25">
      <c r="B503" s="1"/>
      <c r="C503" s="1"/>
      <c r="D503" s="2"/>
      <c r="E503" s="3"/>
      <c r="G503" s="1"/>
      <c r="H503" s="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 spans="2:31" ht="14.25" hidden="1" customHeight="1" x14ac:dyDescent="0.25">
      <c r="B504" s="1"/>
      <c r="C504" s="1"/>
      <c r="D504" s="2"/>
      <c r="E504" s="3"/>
      <c r="G504" s="1"/>
      <c r="H504" s="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r="505" spans="2:31" ht="14.25" hidden="1" customHeight="1" x14ac:dyDescent="0.25">
      <c r="B505" s="1"/>
      <c r="C505" s="1"/>
      <c r="D505" s="2"/>
      <c r="E505" s="3"/>
      <c r="G505" s="1"/>
      <c r="H505" s="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 spans="2:31" ht="14.25" hidden="1" customHeight="1" x14ac:dyDescent="0.25">
      <c r="B506" s="1"/>
      <c r="C506" s="1"/>
      <c r="D506" s="2"/>
      <c r="E506" s="3"/>
      <c r="G506" s="1"/>
      <c r="H506" s="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 spans="2:31" ht="14.25" hidden="1" customHeight="1" x14ac:dyDescent="0.25">
      <c r="B507" s="1"/>
      <c r="C507" s="1"/>
      <c r="D507" s="2"/>
      <c r="E507" s="3"/>
      <c r="G507" s="1"/>
      <c r="H507" s="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 spans="2:31" ht="14.25" hidden="1" customHeight="1" x14ac:dyDescent="0.25">
      <c r="B508" s="1"/>
      <c r="C508" s="1"/>
      <c r="D508" s="2"/>
      <c r="E508" s="3"/>
      <c r="G508" s="1"/>
      <c r="H508" s="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 spans="2:31" ht="14.25" hidden="1" customHeight="1" x14ac:dyDescent="0.25">
      <c r="B509" s="1"/>
      <c r="C509" s="1"/>
      <c r="D509" s="2"/>
      <c r="E509" s="3"/>
      <c r="G509" s="1"/>
      <c r="H509" s="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 spans="2:31" ht="14.25" hidden="1" customHeight="1" x14ac:dyDescent="0.25">
      <c r="B510" s="1"/>
      <c r="C510" s="1"/>
      <c r="D510" s="2"/>
      <c r="E510" s="3"/>
      <c r="G510" s="1"/>
      <c r="H510" s="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 spans="2:31" ht="14.25" hidden="1" customHeight="1" x14ac:dyDescent="0.25">
      <c r="B511" s="1"/>
      <c r="C511" s="1"/>
      <c r="D511" s="2"/>
      <c r="E511" s="3"/>
      <c r="G511" s="1"/>
      <c r="H511" s="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 spans="2:31" ht="14.25" hidden="1" customHeight="1" x14ac:dyDescent="0.25">
      <c r="B512" s="1"/>
      <c r="C512" s="1"/>
      <c r="D512" s="2"/>
      <c r="E512" s="3"/>
      <c r="G512" s="1"/>
      <c r="H512" s="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 spans="2:31" ht="14.25" hidden="1" customHeight="1" x14ac:dyDescent="0.25">
      <c r="B513" s="1"/>
      <c r="C513" s="1"/>
      <c r="D513" s="2"/>
      <c r="E513" s="3"/>
      <c r="G513" s="1"/>
      <c r="H513" s="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 spans="2:31" ht="14.25" hidden="1" customHeight="1" x14ac:dyDescent="0.25">
      <c r="B514" s="1"/>
      <c r="C514" s="1"/>
      <c r="D514" s="2"/>
      <c r="E514" s="3"/>
      <c r="G514" s="1"/>
      <c r="H514" s="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 spans="2:31" ht="14.25" hidden="1" customHeight="1" x14ac:dyDescent="0.25">
      <c r="B515" s="1"/>
      <c r="C515" s="1"/>
      <c r="D515" s="2"/>
      <c r="E515" s="3"/>
      <c r="G515" s="1"/>
      <c r="H515" s="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 spans="2:31" ht="14.25" hidden="1" customHeight="1" x14ac:dyDescent="0.25">
      <c r="B516" s="1"/>
      <c r="C516" s="1"/>
      <c r="D516" s="2"/>
      <c r="E516" s="3"/>
      <c r="G516" s="1"/>
      <c r="H516" s="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 spans="2:31" ht="14.25" hidden="1" customHeight="1" x14ac:dyDescent="0.25">
      <c r="B517" s="1"/>
      <c r="C517" s="1"/>
      <c r="D517" s="2"/>
      <c r="E517" s="3"/>
      <c r="G517" s="1"/>
      <c r="H517" s="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 spans="2:31" ht="14.25" hidden="1" customHeight="1" x14ac:dyDescent="0.25">
      <c r="B518" s="1"/>
      <c r="C518" s="1"/>
      <c r="D518" s="2"/>
      <c r="E518" s="3"/>
      <c r="G518" s="1"/>
      <c r="H518" s="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r="519" spans="2:31" ht="14.25" hidden="1" customHeight="1" x14ac:dyDescent="0.25">
      <c r="B519" s="1"/>
      <c r="C519" s="1"/>
      <c r="D519" s="2"/>
      <c r="E519" s="3"/>
      <c r="G519" s="1"/>
      <c r="H519" s="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 spans="2:31" ht="14.25" hidden="1" customHeight="1" x14ac:dyDescent="0.25">
      <c r="B520" s="1"/>
      <c r="C520" s="1"/>
      <c r="D520" s="2"/>
      <c r="E520" s="3"/>
      <c r="G520" s="1"/>
      <c r="H520" s="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r="521" spans="2:31" ht="14.25" hidden="1" customHeight="1" x14ac:dyDescent="0.25">
      <c r="B521" s="1"/>
      <c r="C521" s="1"/>
      <c r="D521" s="2"/>
      <c r="E521" s="3"/>
      <c r="G521" s="1"/>
      <c r="H521" s="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 spans="2:31" ht="14.25" hidden="1" customHeight="1" x14ac:dyDescent="0.25">
      <c r="B522" s="1"/>
      <c r="C522" s="1"/>
      <c r="D522" s="2"/>
      <c r="E522" s="3"/>
      <c r="G522" s="1"/>
      <c r="H522" s="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 spans="2:31" ht="14.25" hidden="1" customHeight="1" x14ac:dyDescent="0.25">
      <c r="B523" s="1"/>
      <c r="C523" s="1"/>
      <c r="D523" s="2"/>
      <c r="E523" s="3"/>
      <c r="G523" s="1"/>
      <c r="H523" s="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 spans="2:31" ht="14.25" hidden="1" customHeight="1" x14ac:dyDescent="0.25">
      <c r="B524" s="1"/>
      <c r="C524" s="1"/>
      <c r="D524" s="2"/>
      <c r="E524" s="3"/>
      <c r="G524" s="1"/>
      <c r="H524" s="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r="525" spans="2:31" ht="14.25" hidden="1" customHeight="1" x14ac:dyDescent="0.25">
      <c r="B525" s="1"/>
      <c r="C525" s="1"/>
      <c r="D525" s="2"/>
      <c r="E525" s="3"/>
      <c r="G525" s="1"/>
      <c r="H525" s="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 spans="2:31" ht="14.25" hidden="1" customHeight="1" x14ac:dyDescent="0.25">
      <c r="B526" s="1"/>
      <c r="C526" s="1"/>
      <c r="D526" s="2"/>
      <c r="E526" s="3"/>
      <c r="G526" s="1"/>
      <c r="H526" s="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r="527" spans="2:31" ht="14.25" hidden="1" customHeight="1" x14ac:dyDescent="0.25">
      <c r="B527" s="1"/>
      <c r="C527" s="1"/>
      <c r="D527" s="2"/>
      <c r="E527" s="3"/>
      <c r="G527" s="1"/>
      <c r="H527" s="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r="528" spans="2:31" ht="14.25" hidden="1" customHeight="1" x14ac:dyDescent="0.25">
      <c r="B528" s="1"/>
      <c r="C528" s="1"/>
      <c r="D528" s="2"/>
      <c r="E528" s="3"/>
      <c r="G528" s="1"/>
      <c r="H528" s="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r="529" spans="2:31" ht="14.25" hidden="1" customHeight="1" x14ac:dyDescent="0.25">
      <c r="B529" s="1"/>
      <c r="C529" s="1"/>
      <c r="D529" s="2"/>
      <c r="E529" s="3"/>
      <c r="G529" s="1"/>
      <c r="H529" s="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r="530" spans="2:31" ht="14.25" hidden="1" customHeight="1" x14ac:dyDescent="0.25">
      <c r="B530" s="1"/>
      <c r="C530" s="1"/>
      <c r="D530" s="2"/>
      <c r="E530" s="3"/>
      <c r="G530" s="1"/>
      <c r="H530" s="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r="531" spans="2:31" ht="14.25" hidden="1" customHeight="1" x14ac:dyDescent="0.25">
      <c r="B531" s="1"/>
      <c r="C531" s="1"/>
      <c r="D531" s="2"/>
      <c r="E531" s="3"/>
      <c r="G531" s="1"/>
      <c r="H531" s="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r="532" spans="2:31" ht="14.25" hidden="1" customHeight="1" x14ac:dyDescent="0.25">
      <c r="B532" s="1"/>
      <c r="C532" s="1"/>
      <c r="D532" s="2"/>
      <c r="E532" s="3"/>
      <c r="G532" s="1"/>
      <c r="H532" s="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r="533" spans="2:31" ht="14.25" hidden="1" customHeight="1" x14ac:dyDescent="0.25">
      <c r="B533" s="1"/>
      <c r="C533" s="1"/>
      <c r="D533" s="2"/>
      <c r="E533" s="3"/>
      <c r="G533" s="1"/>
      <c r="H533" s="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 spans="2:31" ht="14.25" hidden="1" customHeight="1" x14ac:dyDescent="0.25">
      <c r="B534" s="1"/>
      <c r="C534" s="1"/>
      <c r="D534" s="2"/>
      <c r="E534" s="3"/>
      <c r="G534" s="1"/>
      <c r="H534" s="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 spans="2:31" ht="14.25" hidden="1" customHeight="1" x14ac:dyDescent="0.25">
      <c r="B535" s="1"/>
      <c r="C535" s="1"/>
      <c r="D535" s="2"/>
      <c r="E535" s="3"/>
      <c r="G535" s="1"/>
      <c r="H535" s="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r="536" spans="2:31" ht="14.25" hidden="1" customHeight="1" x14ac:dyDescent="0.25">
      <c r="B536" s="1"/>
      <c r="C536" s="1"/>
      <c r="D536" s="2"/>
      <c r="E536" s="3"/>
      <c r="G536" s="1"/>
      <c r="H536" s="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 spans="2:31" ht="14.25" hidden="1" customHeight="1" x14ac:dyDescent="0.25">
      <c r="B537" s="1"/>
      <c r="C537" s="1"/>
      <c r="D537" s="2"/>
      <c r="E537" s="3"/>
      <c r="G537" s="1"/>
      <c r="H537" s="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r="538" spans="2:31" ht="14.25" hidden="1" customHeight="1" x14ac:dyDescent="0.25">
      <c r="B538" s="1"/>
      <c r="C538" s="1"/>
      <c r="D538" s="2"/>
      <c r="E538" s="3"/>
      <c r="G538" s="1"/>
      <c r="H538" s="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 spans="2:31" ht="14.25" hidden="1" customHeight="1" x14ac:dyDescent="0.25">
      <c r="B539" s="1"/>
      <c r="C539" s="1"/>
      <c r="D539" s="2"/>
      <c r="E539" s="3"/>
      <c r="G539" s="1"/>
      <c r="H539" s="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r="540" spans="2:31" ht="14.25" hidden="1" customHeight="1" x14ac:dyDescent="0.25">
      <c r="B540" s="1"/>
      <c r="C540" s="1"/>
      <c r="D540" s="2"/>
      <c r="E540" s="3"/>
      <c r="G540" s="1"/>
      <c r="H540" s="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r="541" spans="2:31" ht="14.25" hidden="1" customHeight="1" x14ac:dyDescent="0.25">
      <c r="B541" s="1"/>
      <c r="C541" s="1"/>
      <c r="D541" s="2"/>
      <c r="E541" s="3"/>
      <c r="G541" s="1"/>
      <c r="H541" s="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r="542" spans="2:31" ht="14.25" hidden="1" customHeight="1" x14ac:dyDescent="0.25">
      <c r="B542" s="1"/>
      <c r="C542" s="1"/>
      <c r="D542" s="2"/>
      <c r="E542" s="3"/>
      <c r="G542" s="1"/>
      <c r="H542" s="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 spans="2:31" ht="14.25" hidden="1" customHeight="1" x14ac:dyDescent="0.25">
      <c r="B543" s="1"/>
      <c r="C543" s="1"/>
      <c r="D543" s="2"/>
      <c r="E543" s="3"/>
      <c r="G543" s="1"/>
      <c r="H543" s="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r="544" spans="2:31" ht="14.25" hidden="1" customHeight="1" x14ac:dyDescent="0.25">
      <c r="B544" s="1"/>
      <c r="C544" s="1"/>
      <c r="D544" s="2"/>
      <c r="E544" s="3"/>
      <c r="G544" s="1"/>
      <c r="H544" s="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 spans="2:31" ht="14.25" hidden="1" customHeight="1" x14ac:dyDescent="0.25">
      <c r="B545" s="1"/>
      <c r="C545" s="1"/>
      <c r="D545" s="2"/>
      <c r="E545" s="3"/>
      <c r="G545" s="1"/>
      <c r="H545" s="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r="546" spans="2:31" ht="14.25" hidden="1" customHeight="1" x14ac:dyDescent="0.25">
      <c r="B546" s="1"/>
      <c r="C546" s="1"/>
      <c r="D546" s="2"/>
      <c r="E546" s="3"/>
      <c r="G546" s="1"/>
      <c r="H546" s="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r="547" spans="2:31" ht="14.25" hidden="1" customHeight="1" x14ac:dyDescent="0.25">
      <c r="B547" s="1"/>
      <c r="C547" s="1"/>
      <c r="D547" s="2"/>
      <c r="E547" s="3"/>
      <c r="G547" s="1"/>
      <c r="H547" s="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r="548" spans="2:31" ht="14.25" hidden="1" customHeight="1" x14ac:dyDescent="0.25">
      <c r="B548" s="1"/>
      <c r="C548" s="1"/>
      <c r="D548" s="2"/>
      <c r="E548" s="3"/>
      <c r="G548" s="1"/>
      <c r="H548" s="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r="549" spans="2:31" ht="14.25" hidden="1" customHeight="1" x14ac:dyDescent="0.25">
      <c r="B549" s="1"/>
      <c r="C549" s="1"/>
      <c r="D549" s="2"/>
      <c r="E549" s="3"/>
      <c r="G549" s="1"/>
      <c r="H549" s="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 spans="2:31" ht="14.25" hidden="1" customHeight="1" x14ac:dyDescent="0.25">
      <c r="B550" s="1"/>
      <c r="C550" s="1"/>
      <c r="D550" s="2"/>
      <c r="E550" s="3"/>
      <c r="G550" s="1"/>
      <c r="H550" s="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 spans="2:31" ht="14.25" hidden="1" customHeight="1" x14ac:dyDescent="0.25">
      <c r="B551" s="1"/>
      <c r="C551" s="1"/>
      <c r="D551" s="2"/>
      <c r="E551" s="3"/>
      <c r="G551" s="1"/>
      <c r="H551" s="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 spans="2:31" ht="14.25" hidden="1" customHeight="1" x14ac:dyDescent="0.25">
      <c r="B552" s="1"/>
      <c r="C552" s="1"/>
      <c r="D552" s="2"/>
      <c r="E552" s="3"/>
      <c r="G552" s="1"/>
      <c r="H552" s="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 spans="2:31" ht="14.25" hidden="1" customHeight="1" x14ac:dyDescent="0.25">
      <c r="B553" s="1"/>
      <c r="C553" s="1"/>
      <c r="D553" s="2"/>
      <c r="E553" s="3"/>
      <c r="G553" s="1"/>
      <c r="H553" s="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r="554" spans="2:31" ht="14.25" hidden="1" customHeight="1" x14ac:dyDescent="0.25">
      <c r="B554" s="1"/>
      <c r="C554" s="1"/>
      <c r="D554" s="2"/>
      <c r="E554" s="3"/>
      <c r="G554" s="1"/>
      <c r="H554" s="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r="555" spans="2:31" ht="14.25" hidden="1" customHeight="1" x14ac:dyDescent="0.25">
      <c r="B555" s="1"/>
      <c r="C555" s="1"/>
      <c r="D555" s="2"/>
      <c r="E555" s="3"/>
      <c r="G555" s="1"/>
      <c r="H555" s="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r="556" spans="2:31" ht="14.25" hidden="1" customHeight="1" x14ac:dyDescent="0.25">
      <c r="B556" s="1"/>
      <c r="C556" s="1"/>
      <c r="D556" s="2"/>
      <c r="E556" s="3"/>
      <c r="G556" s="1"/>
      <c r="H556" s="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 spans="2:31" ht="14.25" hidden="1" customHeight="1" x14ac:dyDescent="0.25">
      <c r="B557" s="1"/>
      <c r="C557" s="1"/>
      <c r="D557" s="2"/>
      <c r="E557" s="3"/>
      <c r="G557" s="1"/>
      <c r="H557" s="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 spans="2:31" ht="14.25" hidden="1" customHeight="1" x14ac:dyDescent="0.25">
      <c r="B558" s="1"/>
      <c r="C558" s="1"/>
      <c r="D558" s="2"/>
      <c r="E558" s="3"/>
      <c r="G558" s="1"/>
      <c r="H558" s="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 spans="2:31" ht="14.25" hidden="1" customHeight="1" x14ac:dyDescent="0.25">
      <c r="B559" s="1"/>
      <c r="C559" s="1"/>
      <c r="D559" s="2"/>
      <c r="E559" s="3"/>
      <c r="G559" s="1"/>
      <c r="H559" s="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 spans="2:31" ht="14.25" hidden="1" customHeight="1" x14ac:dyDescent="0.25">
      <c r="B560" s="1"/>
      <c r="C560" s="1"/>
      <c r="D560" s="2"/>
      <c r="E560" s="3"/>
      <c r="G560" s="1"/>
      <c r="H560" s="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 spans="2:31" ht="14.25" hidden="1" customHeight="1" x14ac:dyDescent="0.25">
      <c r="B561" s="1"/>
      <c r="C561" s="1"/>
      <c r="D561" s="2"/>
      <c r="E561" s="3"/>
      <c r="G561" s="1"/>
      <c r="H561" s="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 spans="2:31" ht="14.25" hidden="1" customHeight="1" x14ac:dyDescent="0.25">
      <c r="B562" s="1"/>
      <c r="C562" s="1"/>
      <c r="D562" s="2"/>
      <c r="E562" s="3"/>
      <c r="G562" s="1"/>
      <c r="H562" s="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r="563" spans="2:31" ht="14.25" hidden="1" customHeight="1" x14ac:dyDescent="0.25">
      <c r="B563" s="1"/>
      <c r="C563" s="1"/>
      <c r="D563" s="2"/>
      <c r="E563" s="3"/>
      <c r="G563" s="1"/>
      <c r="H563" s="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 spans="2:31" ht="14.25" hidden="1" customHeight="1" x14ac:dyDescent="0.25">
      <c r="B564" s="1"/>
      <c r="C564" s="1"/>
      <c r="D564" s="2"/>
      <c r="E564" s="3"/>
      <c r="G564" s="1"/>
      <c r="H564" s="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 spans="2:31" ht="14.25" hidden="1" customHeight="1" x14ac:dyDescent="0.25">
      <c r="B565" s="1"/>
      <c r="C565" s="1"/>
      <c r="D565" s="2"/>
      <c r="E565" s="3"/>
      <c r="G565" s="1"/>
      <c r="H565" s="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 spans="2:31" ht="14.25" hidden="1" customHeight="1" x14ac:dyDescent="0.25">
      <c r="B566" s="1"/>
      <c r="C566" s="1"/>
      <c r="D566" s="2"/>
      <c r="E566" s="3"/>
      <c r="G566" s="1"/>
      <c r="H566" s="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 spans="2:31" ht="14.25" hidden="1" customHeight="1" x14ac:dyDescent="0.25">
      <c r="B567" s="1"/>
      <c r="C567" s="1"/>
      <c r="D567" s="2"/>
      <c r="E567" s="3"/>
      <c r="G567" s="1"/>
      <c r="H567" s="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 spans="2:31" ht="14.25" hidden="1" customHeight="1" x14ac:dyDescent="0.25">
      <c r="B568" s="1"/>
      <c r="C568" s="1"/>
      <c r="D568" s="2"/>
      <c r="E568" s="3"/>
      <c r="G568" s="1"/>
      <c r="H568" s="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 spans="2:31" ht="14.25" hidden="1" customHeight="1" x14ac:dyDescent="0.25">
      <c r="B569" s="1"/>
      <c r="C569" s="1"/>
      <c r="D569" s="2"/>
      <c r="E569" s="3"/>
      <c r="G569" s="1"/>
      <c r="H569" s="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 spans="2:31" ht="14.25" hidden="1" customHeight="1" x14ac:dyDescent="0.25">
      <c r="B570" s="1"/>
      <c r="C570" s="1"/>
      <c r="D570" s="2"/>
      <c r="E570" s="3"/>
      <c r="G570" s="1"/>
      <c r="H570" s="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 spans="2:31" ht="14.25" hidden="1" customHeight="1" x14ac:dyDescent="0.25">
      <c r="B571" s="1"/>
      <c r="C571" s="1"/>
      <c r="D571" s="2"/>
      <c r="E571" s="3"/>
      <c r="G571" s="1"/>
      <c r="H571" s="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 spans="2:31" ht="14.25" hidden="1" customHeight="1" x14ac:dyDescent="0.25">
      <c r="B572" s="1"/>
      <c r="C572" s="1"/>
      <c r="D572" s="2"/>
      <c r="E572" s="3"/>
      <c r="G572" s="1"/>
      <c r="H572" s="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 spans="2:31" ht="14.25" hidden="1" customHeight="1" x14ac:dyDescent="0.25">
      <c r="B573" s="1"/>
      <c r="C573" s="1"/>
      <c r="D573" s="2"/>
      <c r="E573" s="3"/>
      <c r="G573" s="1"/>
      <c r="H573" s="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 spans="2:31" ht="14.25" hidden="1" customHeight="1" x14ac:dyDescent="0.25">
      <c r="B574" s="1"/>
      <c r="C574" s="1"/>
      <c r="D574" s="2"/>
      <c r="E574" s="3"/>
      <c r="G574" s="1"/>
      <c r="H574" s="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 spans="2:31" ht="14.25" hidden="1" customHeight="1" x14ac:dyDescent="0.25">
      <c r="B575" s="1"/>
      <c r="C575" s="1"/>
      <c r="D575" s="2"/>
      <c r="E575" s="3"/>
      <c r="G575" s="1"/>
      <c r="H575" s="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 spans="2:31" ht="14.25" hidden="1" customHeight="1" x14ac:dyDescent="0.25">
      <c r="B576" s="1"/>
      <c r="C576" s="1"/>
      <c r="D576" s="2"/>
      <c r="E576" s="3"/>
      <c r="G576" s="1"/>
      <c r="H576" s="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 spans="2:31" ht="14.25" hidden="1" customHeight="1" x14ac:dyDescent="0.25">
      <c r="B577" s="1"/>
      <c r="C577" s="1"/>
      <c r="D577" s="2"/>
      <c r="E577" s="3"/>
      <c r="G577" s="1"/>
      <c r="H577" s="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 spans="2:31" ht="14.25" hidden="1" customHeight="1" x14ac:dyDescent="0.25">
      <c r="B578" s="1"/>
      <c r="C578" s="1"/>
      <c r="D578" s="2"/>
      <c r="E578" s="3"/>
      <c r="G578" s="1"/>
      <c r="H578" s="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 spans="2:31" ht="14.25" hidden="1" customHeight="1" x14ac:dyDescent="0.25">
      <c r="B579" s="1"/>
      <c r="C579" s="1"/>
      <c r="D579" s="2"/>
      <c r="E579" s="3"/>
      <c r="G579" s="1"/>
      <c r="H579" s="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 spans="2:31" ht="14.25" hidden="1" customHeight="1" x14ac:dyDescent="0.25">
      <c r="B580" s="1"/>
      <c r="C580" s="1"/>
      <c r="D580" s="2"/>
      <c r="E580" s="3"/>
      <c r="G580" s="1"/>
      <c r="H580" s="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 spans="2:31" ht="14.25" hidden="1" customHeight="1" x14ac:dyDescent="0.25">
      <c r="B581" s="1"/>
      <c r="C581" s="1"/>
      <c r="D581" s="2"/>
      <c r="E581" s="3"/>
      <c r="G581" s="1"/>
      <c r="H581" s="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 spans="2:31" ht="14.25" hidden="1" customHeight="1" x14ac:dyDescent="0.25">
      <c r="B582" s="1"/>
      <c r="C582" s="1"/>
      <c r="D582" s="2"/>
      <c r="E582" s="3"/>
      <c r="G582" s="1"/>
      <c r="H582" s="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 spans="2:31" ht="14.25" hidden="1" customHeight="1" x14ac:dyDescent="0.25">
      <c r="B583" s="1"/>
      <c r="C583" s="1"/>
      <c r="D583" s="2"/>
      <c r="E583" s="3"/>
      <c r="G583" s="1"/>
      <c r="H583" s="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 spans="2:31" ht="14.25" hidden="1" customHeight="1" x14ac:dyDescent="0.25">
      <c r="B584" s="1"/>
      <c r="C584" s="1"/>
      <c r="D584" s="2"/>
      <c r="E584" s="3"/>
      <c r="G584" s="1"/>
      <c r="H584" s="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 spans="2:31" ht="14.25" hidden="1" customHeight="1" x14ac:dyDescent="0.25">
      <c r="B585" s="1"/>
      <c r="C585" s="1"/>
      <c r="D585" s="2"/>
      <c r="E585" s="3"/>
      <c r="G585" s="1"/>
      <c r="H585" s="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 spans="2:31" ht="14.25" hidden="1" customHeight="1" x14ac:dyDescent="0.25">
      <c r="B586" s="1"/>
      <c r="C586" s="1"/>
      <c r="D586" s="2"/>
      <c r="E586" s="3"/>
      <c r="G586" s="1"/>
      <c r="H586" s="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 spans="2:31" ht="14.25" hidden="1" customHeight="1" x14ac:dyDescent="0.25">
      <c r="B587" s="1"/>
      <c r="C587" s="1"/>
      <c r="D587" s="2"/>
      <c r="E587" s="3"/>
      <c r="G587" s="1"/>
      <c r="H587" s="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 spans="2:31" ht="14.25" hidden="1" customHeight="1" x14ac:dyDescent="0.25">
      <c r="B588" s="1"/>
      <c r="C588" s="1"/>
      <c r="D588" s="2"/>
      <c r="E588" s="3"/>
      <c r="G588" s="1"/>
      <c r="H588" s="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 spans="2:31" ht="14.25" hidden="1" customHeight="1" x14ac:dyDescent="0.25">
      <c r="B589" s="1"/>
      <c r="C589" s="1"/>
      <c r="D589" s="2"/>
      <c r="E589" s="3"/>
      <c r="G589" s="1"/>
      <c r="H589" s="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 spans="2:31" ht="14.25" hidden="1" customHeight="1" x14ac:dyDescent="0.25">
      <c r="B590" s="1"/>
      <c r="C590" s="1"/>
      <c r="D590" s="2"/>
      <c r="E590" s="3"/>
      <c r="G590" s="1"/>
      <c r="H590" s="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 spans="2:31" ht="14.25" hidden="1" customHeight="1" x14ac:dyDescent="0.25">
      <c r="B591" s="1"/>
      <c r="C591" s="1"/>
      <c r="D591" s="2"/>
      <c r="E591" s="3"/>
      <c r="G591" s="1"/>
      <c r="H591" s="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 spans="2:31" ht="14.25" hidden="1" customHeight="1" x14ac:dyDescent="0.25">
      <c r="B592" s="1"/>
      <c r="C592" s="1"/>
      <c r="D592" s="2"/>
      <c r="E592" s="3"/>
      <c r="G592" s="1"/>
      <c r="H592" s="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 spans="2:31" ht="14.25" hidden="1" customHeight="1" x14ac:dyDescent="0.25">
      <c r="B593" s="1"/>
      <c r="C593" s="1"/>
      <c r="D593" s="2"/>
      <c r="E593" s="3"/>
      <c r="G593" s="1"/>
      <c r="H593" s="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 spans="2:31" ht="14.25" hidden="1" customHeight="1" x14ac:dyDescent="0.25">
      <c r="B594" s="1"/>
      <c r="C594" s="1"/>
      <c r="D594" s="2"/>
      <c r="E594" s="3"/>
      <c r="G594" s="1"/>
      <c r="H594" s="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 spans="2:31" ht="14.25" hidden="1" customHeight="1" x14ac:dyDescent="0.25">
      <c r="B595" s="1"/>
      <c r="C595" s="1"/>
      <c r="D595" s="2"/>
      <c r="E595" s="3"/>
      <c r="G595" s="1"/>
      <c r="H595" s="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 spans="2:31" ht="14.25" hidden="1" customHeight="1" x14ac:dyDescent="0.25">
      <c r="B596" s="1"/>
      <c r="C596" s="1"/>
      <c r="D596" s="2"/>
      <c r="E596" s="3"/>
      <c r="G596" s="1"/>
      <c r="H596" s="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 spans="2:31" ht="14.25" hidden="1" customHeight="1" x14ac:dyDescent="0.25">
      <c r="B597" s="1"/>
      <c r="C597" s="1"/>
      <c r="D597" s="2"/>
      <c r="E597" s="3"/>
      <c r="G597" s="1"/>
      <c r="H597" s="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 spans="2:31" ht="14.25" hidden="1" customHeight="1" x14ac:dyDescent="0.25">
      <c r="B598" s="1"/>
      <c r="C598" s="1"/>
      <c r="D598" s="2"/>
      <c r="E598" s="3"/>
      <c r="G598" s="1"/>
      <c r="H598" s="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 spans="2:31" ht="14.25" hidden="1" customHeight="1" x14ac:dyDescent="0.25">
      <c r="B599" s="1"/>
      <c r="C599" s="1"/>
      <c r="D599" s="2"/>
      <c r="E599" s="3"/>
      <c r="G599" s="1"/>
      <c r="H599" s="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 spans="2:31" ht="14.25" hidden="1" customHeight="1" x14ac:dyDescent="0.25">
      <c r="B600" s="1"/>
      <c r="C600" s="1"/>
      <c r="D600" s="2"/>
      <c r="E600" s="3"/>
      <c r="G600" s="1"/>
      <c r="H600" s="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 spans="2:31" ht="14.25" hidden="1" customHeight="1" x14ac:dyDescent="0.25">
      <c r="B601" s="1"/>
      <c r="C601" s="1"/>
      <c r="D601" s="2"/>
      <c r="E601" s="3"/>
      <c r="G601" s="1"/>
      <c r="H601" s="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 spans="2:31" ht="14.25" hidden="1" customHeight="1" x14ac:dyDescent="0.25">
      <c r="B602" s="1"/>
      <c r="C602" s="1"/>
      <c r="D602" s="2"/>
      <c r="E602" s="3"/>
      <c r="G602" s="1"/>
      <c r="H602" s="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 spans="2:31" ht="14.25" hidden="1" customHeight="1" x14ac:dyDescent="0.25">
      <c r="B603" s="1"/>
      <c r="C603" s="1"/>
      <c r="D603" s="2"/>
      <c r="E603" s="3"/>
      <c r="G603" s="1"/>
      <c r="H603" s="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 spans="2:31" ht="14.25" hidden="1" customHeight="1" x14ac:dyDescent="0.25">
      <c r="B604" s="1"/>
      <c r="C604" s="1"/>
      <c r="D604" s="2"/>
      <c r="E604" s="3"/>
      <c r="G604" s="1"/>
      <c r="H604" s="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 spans="2:31" ht="14.25" hidden="1" customHeight="1" x14ac:dyDescent="0.25">
      <c r="B605" s="1"/>
      <c r="C605" s="1"/>
      <c r="D605" s="2"/>
      <c r="E605" s="3"/>
      <c r="G605" s="1"/>
      <c r="H605" s="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 spans="2:31" ht="14.25" hidden="1" customHeight="1" x14ac:dyDescent="0.25">
      <c r="B606" s="1"/>
      <c r="C606" s="1"/>
      <c r="D606" s="2"/>
      <c r="E606" s="3"/>
      <c r="G606" s="1"/>
      <c r="H606" s="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 spans="2:31" ht="14.25" hidden="1" customHeight="1" x14ac:dyDescent="0.25">
      <c r="B607" s="1"/>
      <c r="C607" s="1"/>
      <c r="D607" s="2"/>
      <c r="E607" s="3"/>
      <c r="G607" s="1"/>
      <c r="H607" s="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 spans="2:31" ht="14.25" hidden="1" customHeight="1" x14ac:dyDescent="0.25">
      <c r="B608" s="1"/>
      <c r="C608" s="1"/>
      <c r="D608" s="2"/>
      <c r="E608" s="3"/>
      <c r="G608" s="1"/>
      <c r="H608" s="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 spans="2:31" ht="14.25" hidden="1" customHeight="1" x14ac:dyDescent="0.25">
      <c r="B609" s="1"/>
      <c r="C609" s="1"/>
      <c r="D609" s="2"/>
      <c r="E609" s="3"/>
      <c r="G609" s="1"/>
      <c r="H609" s="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 spans="2:31" ht="14.25" hidden="1" customHeight="1" x14ac:dyDescent="0.25">
      <c r="B610" s="1"/>
      <c r="C610" s="1"/>
      <c r="D610" s="2"/>
      <c r="E610" s="3"/>
      <c r="G610" s="1"/>
      <c r="H610" s="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 spans="2:31" ht="14.25" hidden="1" customHeight="1" x14ac:dyDescent="0.25">
      <c r="B611" s="1"/>
      <c r="C611" s="1"/>
      <c r="D611" s="2"/>
      <c r="E611" s="3"/>
      <c r="G611" s="1"/>
      <c r="H611" s="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 spans="2:31" ht="14.25" hidden="1" customHeight="1" x14ac:dyDescent="0.25">
      <c r="B612" s="1"/>
      <c r="C612" s="1"/>
      <c r="D612" s="2"/>
      <c r="E612" s="3"/>
      <c r="G612" s="1"/>
      <c r="H612" s="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 spans="2:31" ht="14.25" hidden="1" customHeight="1" x14ac:dyDescent="0.25">
      <c r="B613" s="1"/>
      <c r="C613" s="1"/>
      <c r="D613" s="2"/>
      <c r="E613" s="3"/>
      <c r="G613" s="1"/>
      <c r="H613" s="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 spans="2:31" ht="14.25" hidden="1" customHeight="1" x14ac:dyDescent="0.25">
      <c r="B614" s="1"/>
      <c r="C614" s="1"/>
      <c r="D614" s="2"/>
      <c r="E614" s="3"/>
      <c r="G614" s="1"/>
      <c r="H614" s="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 spans="2:31" ht="14.25" hidden="1" customHeight="1" x14ac:dyDescent="0.25">
      <c r="B615" s="1"/>
      <c r="C615" s="1"/>
      <c r="D615" s="2"/>
      <c r="E615" s="3"/>
      <c r="G615" s="1"/>
      <c r="H615" s="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 spans="2:31" ht="14.25" hidden="1" customHeight="1" x14ac:dyDescent="0.25">
      <c r="B616" s="1"/>
      <c r="C616" s="1"/>
      <c r="D616" s="2"/>
      <c r="E616" s="3"/>
      <c r="G616" s="1"/>
      <c r="H616" s="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 spans="2:31" ht="14.25" hidden="1" customHeight="1" x14ac:dyDescent="0.25">
      <c r="B617" s="1"/>
      <c r="C617" s="1"/>
      <c r="D617" s="2"/>
      <c r="E617" s="3"/>
      <c r="G617" s="1"/>
      <c r="H617" s="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 spans="2:31" ht="14.25" hidden="1" customHeight="1" x14ac:dyDescent="0.25">
      <c r="B618" s="1"/>
      <c r="C618" s="1"/>
      <c r="D618" s="2"/>
      <c r="E618" s="3"/>
      <c r="G618" s="1"/>
      <c r="H618" s="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 spans="2:31" ht="14.25" hidden="1" customHeight="1" x14ac:dyDescent="0.25">
      <c r="B619" s="1"/>
      <c r="C619" s="1"/>
      <c r="D619" s="2"/>
      <c r="E619" s="3"/>
      <c r="G619" s="1"/>
      <c r="H619" s="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 spans="2:31" ht="14.25" hidden="1" customHeight="1" x14ac:dyDescent="0.25">
      <c r="B620" s="1"/>
      <c r="C620" s="1"/>
      <c r="D620" s="2"/>
      <c r="E620" s="3"/>
      <c r="G620" s="1"/>
      <c r="H620" s="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 spans="2:31" ht="14.25" hidden="1" customHeight="1" x14ac:dyDescent="0.25">
      <c r="B621" s="1"/>
      <c r="C621" s="1"/>
      <c r="D621" s="2"/>
      <c r="E621" s="3"/>
      <c r="G621" s="1"/>
      <c r="H621" s="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 spans="2:31" ht="14.25" hidden="1" customHeight="1" x14ac:dyDescent="0.25">
      <c r="B622" s="1"/>
      <c r="C622" s="1"/>
      <c r="D622" s="2"/>
      <c r="E622" s="3"/>
      <c r="G622" s="1"/>
      <c r="H622" s="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 spans="2:31" ht="14.25" hidden="1" customHeight="1" x14ac:dyDescent="0.25">
      <c r="B623" s="1"/>
      <c r="C623" s="1"/>
      <c r="D623" s="2"/>
      <c r="E623" s="3"/>
      <c r="G623" s="1"/>
      <c r="H623" s="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 spans="2:31" ht="14.25" hidden="1" customHeight="1" x14ac:dyDescent="0.25">
      <c r="B624" s="1"/>
      <c r="C624" s="1"/>
      <c r="D624" s="2"/>
      <c r="E624" s="3"/>
      <c r="G624" s="1"/>
      <c r="H624" s="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 spans="2:31" ht="14.25" hidden="1" customHeight="1" x14ac:dyDescent="0.25">
      <c r="B625" s="1"/>
      <c r="C625" s="1"/>
      <c r="D625" s="2"/>
      <c r="E625" s="3"/>
      <c r="G625" s="1"/>
      <c r="H625" s="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 spans="2:31" ht="14.25" hidden="1" customHeight="1" x14ac:dyDescent="0.25">
      <c r="B626" s="1"/>
      <c r="C626" s="1"/>
      <c r="D626" s="2"/>
      <c r="E626" s="3"/>
      <c r="G626" s="1"/>
      <c r="H626" s="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 spans="2:31" ht="14.25" hidden="1" customHeight="1" x14ac:dyDescent="0.25">
      <c r="B627" s="1"/>
      <c r="C627" s="1"/>
      <c r="D627" s="2"/>
      <c r="E627" s="3"/>
      <c r="G627" s="1"/>
      <c r="H627" s="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 spans="2:31" ht="14.25" hidden="1" customHeight="1" x14ac:dyDescent="0.25">
      <c r="B628" s="1"/>
      <c r="C628" s="1"/>
      <c r="D628" s="2"/>
      <c r="E628" s="3"/>
      <c r="G628" s="1"/>
      <c r="H628" s="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 spans="2:31" ht="14.25" hidden="1" customHeight="1" x14ac:dyDescent="0.25">
      <c r="B629" s="1"/>
      <c r="C629" s="1"/>
      <c r="D629" s="2"/>
      <c r="E629" s="3"/>
      <c r="G629" s="1"/>
      <c r="H629" s="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 spans="2:31" ht="14.25" hidden="1" customHeight="1" x14ac:dyDescent="0.25">
      <c r="B630" s="1"/>
      <c r="C630" s="1"/>
      <c r="D630" s="2"/>
      <c r="E630" s="3"/>
      <c r="G630" s="1"/>
      <c r="H630" s="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 spans="2:31" ht="14.25" hidden="1" customHeight="1" x14ac:dyDescent="0.25">
      <c r="B631" s="1"/>
      <c r="C631" s="1"/>
      <c r="D631" s="2"/>
      <c r="E631" s="3"/>
      <c r="G631" s="1"/>
      <c r="H631" s="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 spans="2:31" ht="14.25" hidden="1" customHeight="1" x14ac:dyDescent="0.25">
      <c r="B632" s="1"/>
      <c r="C632" s="1"/>
      <c r="D632" s="2"/>
      <c r="E632" s="3"/>
      <c r="G632" s="1"/>
      <c r="H632" s="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 spans="2:31" ht="14.25" hidden="1" customHeight="1" x14ac:dyDescent="0.25">
      <c r="B633" s="1"/>
      <c r="C633" s="1"/>
      <c r="D633" s="2"/>
      <c r="E633" s="3"/>
      <c r="G633" s="1"/>
      <c r="H633" s="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 spans="2:31" ht="14.25" hidden="1" customHeight="1" x14ac:dyDescent="0.25">
      <c r="B634" s="1"/>
      <c r="C634" s="1"/>
      <c r="D634" s="2"/>
      <c r="E634" s="3"/>
      <c r="G634" s="1"/>
      <c r="H634" s="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 spans="2:31" ht="14.25" hidden="1" customHeight="1" x14ac:dyDescent="0.25">
      <c r="B635" s="1"/>
      <c r="C635" s="1"/>
      <c r="D635" s="2"/>
      <c r="E635" s="3"/>
      <c r="G635" s="1"/>
      <c r="H635" s="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 spans="2:31" ht="14.25" hidden="1" customHeight="1" x14ac:dyDescent="0.25">
      <c r="B636" s="1"/>
      <c r="C636" s="1"/>
      <c r="D636" s="2"/>
      <c r="E636" s="3"/>
      <c r="G636" s="1"/>
      <c r="H636" s="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 spans="2:31" ht="14.25" hidden="1" customHeight="1" x14ac:dyDescent="0.25">
      <c r="B637" s="1"/>
      <c r="C637" s="1"/>
      <c r="D637" s="2"/>
      <c r="E637" s="3"/>
      <c r="G637" s="1"/>
      <c r="H637" s="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 spans="2:31" ht="14.25" hidden="1" customHeight="1" x14ac:dyDescent="0.25">
      <c r="B638" s="1"/>
      <c r="C638" s="1"/>
      <c r="D638" s="2"/>
      <c r="E638" s="3"/>
      <c r="G638" s="1"/>
      <c r="H638" s="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 spans="2:31" ht="14.25" hidden="1" customHeight="1" x14ac:dyDescent="0.25">
      <c r="B639" s="1"/>
      <c r="C639" s="1"/>
      <c r="D639" s="2"/>
      <c r="E639" s="3"/>
      <c r="G639" s="1"/>
      <c r="H639" s="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 spans="2:31" ht="14.25" hidden="1" customHeight="1" x14ac:dyDescent="0.25">
      <c r="B640" s="1"/>
      <c r="C640" s="1"/>
      <c r="D640" s="2"/>
      <c r="E640" s="3"/>
      <c r="G640" s="1"/>
      <c r="H640" s="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 spans="2:31" ht="14.25" hidden="1" customHeight="1" x14ac:dyDescent="0.25">
      <c r="B641" s="1"/>
      <c r="C641" s="1"/>
      <c r="D641" s="2"/>
      <c r="E641" s="3"/>
      <c r="G641" s="1"/>
      <c r="H641" s="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 spans="2:31" ht="14.25" hidden="1" customHeight="1" x14ac:dyDescent="0.25">
      <c r="B642" s="1"/>
      <c r="C642" s="1"/>
      <c r="D642" s="2"/>
      <c r="E642" s="3"/>
      <c r="G642" s="1"/>
      <c r="H642" s="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 spans="2:31" ht="14.25" hidden="1" customHeight="1" x14ac:dyDescent="0.25">
      <c r="B643" s="1"/>
      <c r="C643" s="1"/>
      <c r="D643" s="2"/>
      <c r="E643" s="3"/>
      <c r="G643" s="1"/>
      <c r="H643" s="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 spans="2:31" ht="14.25" hidden="1" customHeight="1" x14ac:dyDescent="0.25">
      <c r="B644" s="1"/>
      <c r="C644" s="1"/>
      <c r="D644" s="2"/>
      <c r="E644" s="3"/>
      <c r="G644" s="1"/>
      <c r="H644" s="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 spans="2:31" ht="14.25" hidden="1" customHeight="1" x14ac:dyDescent="0.25">
      <c r="B645" s="1"/>
      <c r="C645" s="1"/>
      <c r="D645" s="2"/>
      <c r="E645" s="3"/>
      <c r="G645" s="1"/>
      <c r="H645" s="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 spans="2:31" ht="14.25" hidden="1" customHeight="1" x14ac:dyDescent="0.25">
      <c r="B646" s="1"/>
      <c r="C646" s="1"/>
      <c r="D646" s="2"/>
      <c r="E646" s="3"/>
      <c r="G646" s="1"/>
      <c r="H646" s="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 spans="2:31" ht="14.25" hidden="1" customHeight="1" x14ac:dyDescent="0.25">
      <c r="B647" s="1"/>
      <c r="C647" s="1"/>
      <c r="D647" s="2"/>
      <c r="E647" s="3"/>
      <c r="G647" s="1"/>
      <c r="H647" s="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 spans="2:31" ht="14.25" hidden="1" customHeight="1" x14ac:dyDescent="0.25">
      <c r="B648" s="1"/>
      <c r="C648" s="1"/>
      <c r="D648" s="2"/>
      <c r="E648" s="3"/>
      <c r="G648" s="1"/>
      <c r="H648" s="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 spans="2:31" ht="14.25" hidden="1" customHeight="1" x14ac:dyDescent="0.25">
      <c r="B649" s="1"/>
      <c r="C649" s="1"/>
      <c r="D649" s="2"/>
      <c r="E649" s="3"/>
      <c r="G649" s="1"/>
      <c r="H649" s="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 spans="2:31" ht="14.25" hidden="1" customHeight="1" x14ac:dyDescent="0.25">
      <c r="B650" s="1"/>
      <c r="C650" s="1"/>
      <c r="D650" s="2"/>
      <c r="E650" s="3"/>
      <c r="G650" s="1"/>
      <c r="H650" s="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 spans="2:31" ht="14.25" hidden="1" customHeight="1" x14ac:dyDescent="0.25">
      <c r="B651" s="1"/>
      <c r="C651" s="1"/>
      <c r="D651" s="2"/>
      <c r="E651" s="3"/>
      <c r="G651" s="1"/>
      <c r="H651" s="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 spans="2:31" ht="14.25" hidden="1" customHeight="1" x14ac:dyDescent="0.25">
      <c r="B652" s="1"/>
      <c r="C652" s="1"/>
      <c r="D652" s="2"/>
      <c r="E652" s="3"/>
      <c r="G652" s="1"/>
      <c r="H652" s="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 spans="2:31" ht="14.25" hidden="1" customHeight="1" x14ac:dyDescent="0.25">
      <c r="B653" s="1"/>
      <c r="C653" s="1"/>
      <c r="D653" s="2"/>
      <c r="E653" s="3"/>
      <c r="G653" s="1"/>
      <c r="H653" s="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 spans="2:31" ht="14.25" hidden="1" customHeight="1" x14ac:dyDescent="0.25">
      <c r="B654" s="1"/>
      <c r="C654" s="1"/>
      <c r="D654" s="2"/>
      <c r="E654" s="3"/>
      <c r="G654" s="1"/>
      <c r="H654" s="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 spans="2:31" ht="14.25" hidden="1" customHeight="1" x14ac:dyDescent="0.25">
      <c r="B655" s="1"/>
      <c r="C655" s="1"/>
      <c r="D655" s="2"/>
      <c r="E655" s="3"/>
      <c r="G655" s="1"/>
      <c r="H655" s="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 spans="2:31" ht="14.25" hidden="1" customHeight="1" x14ac:dyDescent="0.25">
      <c r="B656" s="1"/>
      <c r="C656" s="1"/>
      <c r="D656" s="2"/>
      <c r="E656" s="3"/>
      <c r="G656" s="1"/>
      <c r="H656" s="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 spans="2:31" ht="14.25" hidden="1" customHeight="1" x14ac:dyDescent="0.25">
      <c r="B657" s="1"/>
      <c r="C657" s="1"/>
      <c r="D657" s="2"/>
      <c r="E657" s="3"/>
      <c r="G657" s="1"/>
      <c r="H657" s="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 spans="2:31" ht="14.25" hidden="1" customHeight="1" x14ac:dyDescent="0.25">
      <c r="B658" s="1"/>
      <c r="C658" s="1"/>
      <c r="D658" s="2"/>
      <c r="E658" s="3"/>
      <c r="G658" s="1"/>
      <c r="H658" s="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 spans="2:31" ht="14.25" hidden="1" customHeight="1" x14ac:dyDescent="0.25">
      <c r="B659" s="1"/>
      <c r="C659" s="1"/>
      <c r="D659" s="2"/>
      <c r="E659" s="3"/>
      <c r="G659" s="1"/>
      <c r="H659" s="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 spans="2:31" ht="14.25" hidden="1" customHeight="1" x14ac:dyDescent="0.25">
      <c r="B660" s="1"/>
      <c r="C660" s="1"/>
      <c r="D660" s="2"/>
      <c r="E660" s="3"/>
      <c r="G660" s="1"/>
      <c r="H660" s="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 spans="2:31" ht="14.25" hidden="1" customHeight="1" x14ac:dyDescent="0.25">
      <c r="B661" s="1"/>
      <c r="C661" s="1"/>
      <c r="D661" s="2"/>
      <c r="E661" s="3"/>
      <c r="G661" s="1"/>
      <c r="H661" s="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 spans="2:31" ht="14.25" hidden="1" customHeight="1" x14ac:dyDescent="0.25">
      <c r="B662" s="1"/>
      <c r="C662" s="1"/>
      <c r="D662" s="2"/>
      <c r="E662" s="3"/>
      <c r="G662" s="1"/>
      <c r="H662" s="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 spans="2:31" ht="14.25" hidden="1" customHeight="1" x14ac:dyDescent="0.25">
      <c r="B663" s="1"/>
      <c r="C663" s="1"/>
      <c r="D663" s="2"/>
      <c r="E663" s="3"/>
      <c r="G663" s="1"/>
      <c r="H663" s="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 spans="2:31" ht="14.25" hidden="1" customHeight="1" x14ac:dyDescent="0.25">
      <c r="B664" s="1"/>
      <c r="C664" s="1"/>
      <c r="D664" s="2"/>
      <c r="E664" s="3"/>
      <c r="G664" s="1"/>
      <c r="H664" s="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 spans="2:31" ht="14.25" hidden="1" customHeight="1" x14ac:dyDescent="0.25">
      <c r="B665" s="1"/>
      <c r="C665" s="1"/>
      <c r="D665" s="2"/>
      <c r="E665" s="3"/>
      <c r="G665" s="1"/>
      <c r="H665" s="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 spans="2:31" ht="14.25" hidden="1" customHeight="1" x14ac:dyDescent="0.25">
      <c r="B666" s="1"/>
      <c r="C666" s="1"/>
      <c r="D666" s="2"/>
      <c r="E666" s="3"/>
      <c r="G666" s="1"/>
      <c r="H666" s="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 spans="2:31" ht="14.25" hidden="1" customHeight="1" x14ac:dyDescent="0.25">
      <c r="B667" s="1"/>
      <c r="C667" s="1"/>
      <c r="D667" s="2"/>
      <c r="E667" s="3"/>
      <c r="G667" s="1"/>
      <c r="H667" s="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 spans="2:31" ht="14.25" hidden="1" customHeight="1" x14ac:dyDescent="0.25">
      <c r="B668" s="1"/>
      <c r="C668" s="1"/>
      <c r="D668" s="2"/>
      <c r="E668" s="3"/>
      <c r="G668" s="1"/>
      <c r="H668" s="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 spans="2:31" ht="14.25" hidden="1" customHeight="1" x14ac:dyDescent="0.25">
      <c r="B669" s="1"/>
      <c r="C669" s="1"/>
      <c r="D669" s="2"/>
      <c r="E669" s="3"/>
      <c r="G669" s="1"/>
      <c r="H669" s="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 spans="2:31" ht="14.25" hidden="1" customHeight="1" x14ac:dyDescent="0.25">
      <c r="B670" s="1"/>
      <c r="C670" s="1"/>
      <c r="D670" s="2"/>
      <c r="E670" s="3"/>
      <c r="G670" s="1"/>
      <c r="H670" s="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 spans="2:31" ht="14.25" hidden="1" customHeight="1" x14ac:dyDescent="0.25">
      <c r="B671" s="1"/>
      <c r="C671" s="1"/>
      <c r="D671" s="2"/>
      <c r="E671" s="3"/>
      <c r="G671" s="1"/>
      <c r="H671" s="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 spans="2:31" ht="14.25" hidden="1" customHeight="1" x14ac:dyDescent="0.25">
      <c r="B672" s="1"/>
      <c r="C672" s="1"/>
      <c r="D672" s="2"/>
      <c r="E672" s="3"/>
      <c r="G672" s="1"/>
      <c r="H672" s="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 spans="2:31" ht="14.25" hidden="1" customHeight="1" x14ac:dyDescent="0.25">
      <c r="B673" s="1"/>
      <c r="C673" s="1"/>
      <c r="D673" s="2"/>
      <c r="E673" s="3"/>
      <c r="G673" s="1"/>
      <c r="H673" s="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 spans="2:31" ht="14.25" hidden="1" customHeight="1" x14ac:dyDescent="0.25">
      <c r="B674" s="1"/>
      <c r="C674" s="1"/>
      <c r="D674" s="2"/>
      <c r="E674" s="3"/>
      <c r="G674" s="1"/>
      <c r="H674" s="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 spans="2:31" ht="14.25" hidden="1" customHeight="1" x14ac:dyDescent="0.25">
      <c r="B675" s="1"/>
      <c r="C675" s="1"/>
      <c r="D675" s="2"/>
      <c r="E675" s="3"/>
      <c r="G675" s="1"/>
      <c r="H675" s="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 spans="2:31" ht="14.25" hidden="1" customHeight="1" x14ac:dyDescent="0.25">
      <c r="B676" s="1"/>
      <c r="C676" s="1"/>
      <c r="D676" s="2"/>
      <c r="E676" s="3"/>
      <c r="G676" s="1"/>
      <c r="H676" s="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 spans="2:31" ht="14.25" hidden="1" customHeight="1" x14ac:dyDescent="0.25">
      <c r="B677" s="1"/>
      <c r="C677" s="1"/>
      <c r="D677" s="2"/>
      <c r="E677" s="3"/>
      <c r="G677" s="1"/>
      <c r="H677" s="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 spans="2:31" ht="14.25" hidden="1" customHeight="1" x14ac:dyDescent="0.25">
      <c r="B678" s="1"/>
      <c r="C678" s="1"/>
      <c r="D678" s="2"/>
      <c r="E678" s="3"/>
      <c r="G678" s="1"/>
      <c r="H678" s="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 spans="2:31" ht="14.25" hidden="1" customHeight="1" x14ac:dyDescent="0.25">
      <c r="B679" s="1"/>
      <c r="C679" s="1"/>
      <c r="D679" s="2"/>
      <c r="E679" s="3"/>
      <c r="G679" s="1"/>
      <c r="H679" s="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 spans="2:31" ht="14.25" hidden="1" customHeight="1" x14ac:dyDescent="0.25">
      <c r="B680" s="1"/>
      <c r="C680" s="1"/>
      <c r="D680" s="2"/>
      <c r="E680" s="3"/>
      <c r="G680" s="1"/>
      <c r="H680" s="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 spans="2:31" ht="14.25" hidden="1" customHeight="1" x14ac:dyDescent="0.25">
      <c r="B681" s="1"/>
      <c r="C681" s="1"/>
      <c r="D681" s="2"/>
      <c r="E681" s="3"/>
      <c r="G681" s="1"/>
      <c r="H681" s="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 spans="2:31" ht="14.25" hidden="1" customHeight="1" x14ac:dyDescent="0.25">
      <c r="B682" s="1"/>
      <c r="C682" s="1"/>
      <c r="D682" s="2"/>
      <c r="E682" s="3"/>
      <c r="G682" s="1"/>
      <c r="H682" s="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 spans="2:31" ht="14.25" hidden="1" customHeight="1" x14ac:dyDescent="0.25">
      <c r="B683" s="1"/>
      <c r="C683" s="1"/>
      <c r="D683" s="2"/>
      <c r="E683" s="3"/>
      <c r="G683" s="1"/>
      <c r="H683" s="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 spans="2:31" ht="14.25" hidden="1" customHeight="1" x14ac:dyDescent="0.25">
      <c r="B684" s="1"/>
      <c r="C684" s="1"/>
      <c r="D684" s="2"/>
      <c r="E684" s="3"/>
      <c r="G684" s="1"/>
      <c r="H684" s="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 spans="2:31" ht="14.25" hidden="1" customHeight="1" x14ac:dyDescent="0.25">
      <c r="B685" s="1"/>
      <c r="C685" s="1"/>
      <c r="D685" s="2"/>
      <c r="E685" s="3"/>
      <c r="G685" s="1"/>
      <c r="H685" s="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 spans="2:31" ht="14.25" hidden="1" customHeight="1" x14ac:dyDescent="0.25">
      <c r="B686" s="1"/>
      <c r="C686" s="1"/>
      <c r="D686" s="2"/>
      <c r="E686" s="3"/>
      <c r="G686" s="1"/>
      <c r="H686" s="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 spans="2:31" ht="14.25" hidden="1" customHeight="1" x14ac:dyDescent="0.25">
      <c r="B687" s="1"/>
      <c r="C687" s="1"/>
      <c r="D687" s="2"/>
      <c r="E687" s="3"/>
      <c r="G687" s="1"/>
      <c r="H687" s="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 spans="2:31" ht="14.25" hidden="1" customHeight="1" x14ac:dyDescent="0.25">
      <c r="B688" s="1"/>
      <c r="C688" s="1"/>
      <c r="D688" s="2"/>
      <c r="E688" s="3"/>
      <c r="G688" s="1"/>
      <c r="H688" s="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 spans="2:31" ht="14.25" hidden="1" customHeight="1" x14ac:dyDescent="0.25">
      <c r="B689" s="1"/>
      <c r="C689" s="1"/>
      <c r="D689" s="2"/>
      <c r="E689" s="3"/>
      <c r="G689" s="1"/>
      <c r="H689" s="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 spans="2:31" ht="14.25" hidden="1" customHeight="1" x14ac:dyDescent="0.25">
      <c r="B690" s="1"/>
      <c r="C690" s="1"/>
      <c r="D690" s="2"/>
      <c r="E690" s="3"/>
      <c r="G690" s="1"/>
      <c r="H690" s="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 spans="2:31" ht="14.25" hidden="1" customHeight="1" x14ac:dyDescent="0.25">
      <c r="B691" s="1"/>
      <c r="C691" s="1"/>
      <c r="D691" s="2"/>
      <c r="E691" s="3"/>
      <c r="G691" s="1"/>
      <c r="H691" s="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 spans="2:31" ht="14.25" hidden="1" customHeight="1" x14ac:dyDescent="0.25">
      <c r="B692" s="1"/>
      <c r="C692" s="1"/>
      <c r="D692" s="2"/>
      <c r="E692" s="3"/>
      <c r="G692" s="1"/>
      <c r="H692" s="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 spans="2:31" ht="14.25" hidden="1" customHeight="1" x14ac:dyDescent="0.25">
      <c r="B693" s="1"/>
      <c r="C693" s="1"/>
      <c r="D693" s="2"/>
      <c r="E693" s="3"/>
      <c r="G693" s="1"/>
      <c r="H693" s="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 spans="2:31" ht="14.25" hidden="1" customHeight="1" x14ac:dyDescent="0.25">
      <c r="B694" s="1"/>
      <c r="C694" s="1"/>
      <c r="D694" s="2"/>
      <c r="E694" s="3"/>
      <c r="G694" s="1"/>
      <c r="H694" s="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 spans="2:31" ht="14.25" hidden="1" customHeight="1" x14ac:dyDescent="0.25">
      <c r="B695" s="1"/>
      <c r="C695" s="1"/>
      <c r="D695" s="2"/>
      <c r="E695" s="3"/>
      <c r="G695" s="1"/>
      <c r="H695" s="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 spans="2:31" ht="14.25" hidden="1" customHeight="1" x14ac:dyDescent="0.25">
      <c r="B696" s="1"/>
      <c r="C696" s="1"/>
      <c r="D696" s="2"/>
      <c r="E696" s="3"/>
      <c r="G696" s="1"/>
      <c r="H696" s="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 spans="2:31" ht="14.25" hidden="1" customHeight="1" x14ac:dyDescent="0.25">
      <c r="B697" s="1"/>
      <c r="C697" s="1"/>
      <c r="D697" s="2"/>
      <c r="E697" s="3"/>
      <c r="G697" s="1"/>
      <c r="H697" s="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 spans="2:31" ht="14.25" hidden="1" customHeight="1" x14ac:dyDescent="0.25">
      <c r="B698" s="1"/>
      <c r="C698" s="1"/>
      <c r="D698" s="2"/>
      <c r="E698" s="3"/>
      <c r="G698" s="1"/>
      <c r="H698" s="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 spans="2:31" ht="14.25" hidden="1" customHeight="1" x14ac:dyDescent="0.25">
      <c r="B699" s="1"/>
      <c r="C699" s="1"/>
      <c r="D699" s="2"/>
      <c r="E699" s="3"/>
      <c r="G699" s="1"/>
      <c r="H699" s="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 spans="2:31" ht="14.25" hidden="1" customHeight="1" x14ac:dyDescent="0.25">
      <c r="B700" s="1"/>
      <c r="C700" s="1"/>
      <c r="D700" s="2"/>
      <c r="E700" s="3"/>
      <c r="G700" s="1"/>
      <c r="H700" s="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 spans="2:31" ht="14.25" hidden="1" customHeight="1" x14ac:dyDescent="0.25">
      <c r="B701" s="1"/>
      <c r="C701" s="1"/>
      <c r="D701" s="2"/>
      <c r="E701" s="3"/>
      <c r="G701" s="1"/>
      <c r="H701" s="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 spans="2:31" ht="14.25" hidden="1" customHeight="1" x14ac:dyDescent="0.25">
      <c r="B702" s="1"/>
      <c r="C702" s="1"/>
      <c r="D702" s="2"/>
      <c r="E702" s="3"/>
      <c r="G702" s="1"/>
      <c r="H702" s="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 spans="2:31" ht="14.25" hidden="1" customHeight="1" x14ac:dyDescent="0.25">
      <c r="B703" s="1"/>
      <c r="C703" s="1"/>
      <c r="D703" s="2"/>
      <c r="E703" s="3"/>
      <c r="G703" s="1"/>
      <c r="H703" s="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 spans="2:31" ht="14.25" hidden="1" customHeight="1" x14ac:dyDescent="0.25">
      <c r="B704" s="1"/>
      <c r="C704" s="1"/>
      <c r="D704" s="2"/>
      <c r="E704" s="3"/>
      <c r="G704" s="1"/>
      <c r="H704" s="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 spans="2:31" ht="14.25" hidden="1" customHeight="1" x14ac:dyDescent="0.25">
      <c r="B705" s="1"/>
      <c r="C705" s="1"/>
      <c r="D705" s="2"/>
      <c r="E705" s="3"/>
      <c r="G705" s="1"/>
      <c r="H705" s="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 spans="2:31" ht="14.25" hidden="1" customHeight="1" x14ac:dyDescent="0.25">
      <c r="B706" s="1"/>
      <c r="C706" s="1"/>
      <c r="D706" s="2"/>
      <c r="E706" s="3"/>
      <c r="G706" s="1"/>
      <c r="H706" s="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 spans="2:31" ht="14.25" hidden="1" customHeight="1" x14ac:dyDescent="0.25">
      <c r="B707" s="1"/>
      <c r="C707" s="1"/>
      <c r="D707" s="2"/>
      <c r="E707" s="3"/>
      <c r="G707" s="1"/>
      <c r="H707" s="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 spans="2:31" ht="14.25" hidden="1" customHeight="1" x14ac:dyDescent="0.25">
      <c r="B708" s="1"/>
      <c r="C708" s="1"/>
      <c r="D708" s="2"/>
      <c r="E708" s="3"/>
      <c r="G708" s="1"/>
      <c r="H708" s="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 spans="2:31" ht="14.25" hidden="1" customHeight="1" x14ac:dyDescent="0.25">
      <c r="B709" s="1"/>
      <c r="C709" s="1"/>
      <c r="D709" s="2"/>
      <c r="E709" s="3"/>
      <c r="G709" s="1"/>
      <c r="H709" s="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 spans="2:31" ht="14.25" hidden="1" customHeight="1" x14ac:dyDescent="0.25">
      <c r="B710" s="1"/>
      <c r="C710" s="1"/>
      <c r="D710" s="2"/>
      <c r="E710" s="3"/>
      <c r="G710" s="1"/>
      <c r="H710" s="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 spans="2:31" ht="14.25" hidden="1" customHeight="1" x14ac:dyDescent="0.25">
      <c r="B711" s="1"/>
      <c r="C711" s="1"/>
      <c r="D711" s="2"/>
      <c r="E711" s="3"/>
      <c r="G711" s="1"/>
      <c r="H711" s="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 spans="2:31" ht="14.25" hidden="1" customHeight="1" x14ac:dyDescent="0.25">
      <c r="B712" s="1"/>
      <c r="C712" s="1"/>
      <c r="D712" s="2"/>
      <c r="E712" s="3"/>
      <c r="G712" s="1"/>
      <c r="H712" s="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 spans="2:31" ht="14.25" hidden="1" customHeight="1" x14ac:dyDescent="0.25">
      <c r="B713" s="1"/>
      <c r="C713" s="1"/>
      <c r="D713" s="2"/>
      <c r="E713" s="3"/>
      <c r="G713" s="1"/>
      <c r="H713" s="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 spans="2:31" ht="14.25" hidden="1" customHeight="1" x14ac:dyDescent="0.25">
      <c r="B714" s="1"/>
      <c r="C714" s="1"/>
      <c r="D714" s="2"/>
      <c r="E714" s="3"/>
      <c r="G714" s="1"/>
      <c r="H714" s="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 spans="2:31" ht="14.25" hidden="1" customHeight="1" x14ac:dyDescent="0.25">
      <c r="B715" s="1"/>
      <c r="C715" s="1"/>
      <c r="D715" s="2"/>
      <c r="E715" s="3"/>
      <c r="G715" s="1"/>
      <c r="H715" s="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 spans="2:31" ht="14.25" hidden="1" customHeight="1" x14ac:dyDescent="0.25">
      <c r="B716" s="1"/>
      <c r="C716" s="1"/>
      <c r="D716" s="2"/>
      <c r="E716" s="3"/>
      <c r="G716" s="1"/>
      <c r="H716" s="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 spans="2:31" ht="14.25" hidden="1" customHeight="1" x14ac:dyDescent="0.25">
      <c r="B717" s="1"/>
      <c r="C717" s="1"/>
      <c r="D717" s="2"/>
      <c r="E717" s="3"/>
      <c r="G717" s="1"/>
      <c r="H717" s="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 spans="2:31" ht="14.25" hidden="1" customHeight="1" x14ac:dyDescent="0.25">
      <c r="B718" s="1"/>
      <c r="C718" s="1"/>
      <c r="D718" s="2"/>
      <c r="E718" s="3"/>
      <c r="G718" s="1"/>
      <c r="H718" s="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 spans="2:31" ht="14.25" hidden="1" customHeight="1" x14ac:dyDescent="0.25">
      <c r="B719" s="1"/>
      <c r="C719" s="1"/>
      <c r="D719" s="2"/>
      <c r="E719" s="3"/>
      <c r="G719" s="1"/>
      <c r="H719" s="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 spans="2:31" ht="14.25" hidden="1" customHeight="1" x14ac:dyDescent="0.25">
      <c r="B720" s="1"/>
      <c r="C720" s="1"/>
      <c r="D720" s="2"/>
      <c r="E720" s="3"/>
      <c r="G720" s="1"/>
      <c r="H720" s="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 spans="2:31" ht="14.25" hidden="1" customHeight="1" x14ac:dyDescent="0.25">
      <c r="B721" s="1"/>
      <c r="C721" s="1"/>
      <c r="D721" s="2"/>
      <c r="E721" s="3"/>
      <c r="G721" s="1"/>
      <c r="H721" s="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 spans="2:31" ht="14.25" hidden="1" customHeight="1" x14ac:dyDescent="0.25">
      <c r="B722" s="1"/>
      <c r="C722" s="1"/>
      <c r="D722" s="2"/>
      <c r="E722" s="3"/>
      <c r="G722" s="1"/>
      <c r="H722" s="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 spans="2:31" ht="14.25" hidden="1" customHeight="1" x14ac:dyDescent="0.25">
      <c r="B723" s="1"/>
      <c r="C723" s="1"/>
      <c r="D723" s="2"/>
      <c r="E723" s="3"/>
      <c r="G723" s="1"/>
      <c r="H723" s="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 spans="2:31" ht="14.25" hidden="1" customHeight="1" x14ac:dyDescent="0.25">
      <c r="B724" s="1"/>
      <c r="C724" s="1"/>
      <c r="D724" s="2"/>
      <c r="E724" s="3"/>
      <c r="G724" s="1"/>
      <c r="H724" s="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 spans="2:31" ht="14.25" hidden="1" customHeight="1" x14ac:dyDescent="0.25">
      <c r="B725" s="1"/>
      <c r="C725" s="1"/>
      <c r="D725" s="2"/>
      <c r="E725" s="3"/>
      <c r="G725" s="1"/>
      <c r="H725" s="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 spans="2:31" ht="14.25" hidden="1" customHeight="1" x14ac:dyDescent="0.25">
      <c r="B726" s="1"/>
      <c r="C726" s="1"/>
      <c r="D726" s="2"/>
      <c r="E726" s="3"/>
      <c r="G726" s="1"/>
      <c r="H726" s="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 spans="2:31" ht="14.25" hidden="1" customHeight="1" x14ac:dyDescent="0.25">
      <c r="B727" s="1"/>
      <c r="C727" s="1"/>
      <c r="D727" s="2"/>
      <c r="E727" s="3"/>
      <c r="G727" s="1"/>
      <c r="H727" s="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 spans="2:31" ht="14.25" hidden="1" customHeight="1" x14ac:dyDescent="0.25">
      <c r="B728" s="1"/>
      <c r="C728" s="1"/>
      <c r="D728" s="2"/>
      <c r="E728" s="3"/>
      <c r="G728" s="1"/>
      <c r="H728" s="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 spans="2:31" ht="14.25" hidden="1" customHeight="1" x14ac:dyDescent="0.25">
      <c r="B729" s="1"/>
      <c r="C729" s="1"/>
      <c r="D729" s="2"/>
      <c r="E729" s="3"/>
      <c r="G729" s="1"/>
      <c r="H729" s="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 spans="2:31" ht="14.25" hidden="1" customHeight="1" x14ac:dyDescent="0.25">
      <c r="B730" s="1"/>
      <c r="C730" s="1"/>
      <c r="D730" s="2"/>
      <c r="E730" s="3"/>
      <c r="G730" s="1"/>
      <c r="H730" s="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 spans="2:31" ht="14.25" hidden="1" customHeight="1" x14ac:dyDescent="0.25">
      <c r="B731" s="1"/>
      <c r="C731" s="1"/>
      <c r="D731" s="2"/>
      <c r="E731" s="3"/>
      <c r="G731" s="1"/>
      <c r="H731" s="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 spans="2:31" ht="14.25" hidden="1" customHeight="1" x14ac:dyDescent="0.25">
      <c r="B732" s="1"/>
      <c r="C732" s="1"/>
      <c r="D732" s="2"/>
      <c r="E732" s="3"/>
      <c r="G732" s="1"/>
      <c r="H732" s="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 spans="2:31" ht="14.25" hidden="1" customHeight="1" x14ac:dyDescent="0.25">
      <c r="B733" s="1"/>
      <c r="C733" s="1"/>
      <c r="D733" s="2"/>
      <c r="E733" s="3"/>
      <c r="G733" s="1"/>
      <c r="H733" s="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 spans="2:31" ht="14.25" hidden="1" customHeight="1" x14ac:dyDescent="0.25">
      <c r="B734" s="1"/>
      <c r="C734" s="1"/>
      <c r="D734" s="2"/>
      <c r="E734" s="3"/>
      <c r="G734" s="1"/>
      <c r="H734" s="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 spans="2:31" ht="14.25" hidden="1" customHeight="1" x14ac:dyDescent="0.25">
      <c r="B735" s="1"/>
      <c r="C735" s="1"/>
      <c r="D735" s="2"/>
      <c r="E735" s="3"/>
      <c r="G735" s="1"/>
      <c r="H735" s="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 spans="2:31" ht="14.25" hidden="1" customHeight="1" x14ac:dyDescent="0.25">
      <c r="B736" s="1"/>
      <c r="C736" s="1"/>
      <c r="D736" s="2"/>
      <c r="E736" s="3"/>
      <c r="G736" s="1"/>
      <c r="H736" s="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 spans="2:31" ht="14.25" hidden="1" customHeight="1" x14ac:dyDescent="0.25">
      <c r="B737" s="1"/>
      <c r="C737" s="1"/>
      <c r="D737" s="2"/>
      <c r="E737" s="3"/>
      <c r="G737" s="1"/>
      <c r="H737" s="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 spans="2:31" ht="14.25" hidden="1" customHeight="1" x14ac:dyDescent="0.25">
      <c r="B738" s="1"/>
      <c r="C738" s="1"/>
      <c r="D738" s="2"/>
      <c r="E738" s="3"/>
      <c r="G738" s="1"/>
      <c r="H738" s="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 spans="2:31" ht="14.25" hidden="1" customHeight="1" x14ac:dyDescent="0.25">
      <c r="B739" s="1"/>
      <c r="C739" s="1"/>
      <c r="D739" s="2"/>
      <c r="E739" s="3"/>
      <c r="G739" s="1"/>
      <c r="H739" s="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 spans="2:31" ht="14.25" hidden="1" customHeight="1" x14ac:dyDescent="0.25">
      <c r="B740" s="1"/>
      <c r="C740" s="1"/>
      <c r="D740" s="2"/>
      <c r="E740" s="3"/>
      <c r="G740" s="1"/>
      <c r="H740" s="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 spans="2:31" ht="14.25" hidden="1" customHeight="1" x14ac:dyDescent="0.25">
      <c r="B741" s="1"/>
      <c r="C741" s="1"/>
      <c r="D741" s="2"/>
      <c r="E741" s="3"/>
      <c r="G741" s="1"/>
      <c r="H741" s="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 spans="2:31" ht="14.25" hidden="1" customHeight="1" x14ac:dyDescent="0.25">
      <c r="B742" s="1"/>
      <c r="C742" s="1"/>
      <c r="D742" s="2"/>
      <c r="E742" s="3"/>
      <c r="G742" s="1"/>
      <c r="H742" s="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 spans="2:31" ht="14.25" hidden="1" customHeight="1" x14ac:dyDescent="0.25">
      <c r="B743" s="1"/>
      <c r="C743" s="1"/>
      <c r="D743" s="2"/>
      <c r="E743" s="3"/>
      <c r="G743" s="1"/>
      <c r="H743" s="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 spans="2:31" ht="14.25" hidden="1" customHeight="1" x14ac:dyDescent="0.25">
      <c r="B744" s="1"/>
      <c r="C744" s="1"/>
      <c r="D744" s="2"/>
      <c r="E744" s="3"/>
      <c r="G744" s="1"/>
      <c r="H744" s="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 spans="2:31" ht="14.25" hidden="1" customHeight="1" x14ac:dyDescent="0.25">
      <c r="B745" s="1"/>
      <c r="C745" s="1"/>
      <c r="D745" s="2"/>
      <c r="E745" s="3"/>
      <c r="G745" s="1"/>
      <c r="H745" s="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 spans="2:31" ht="14.25" hidden="1" customHeight="1" x14ac:dyDescent="0.25">
      <c r="B746" s="1"/>
      <c r="C746" s="1"/>
      <c r="D746" s="2"/>
      <c r="E746" s="3"/>
      <c r="G746" s="1"/>
      <c r="H746" s="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 spans="2:31" ht="14.25" hidden="1" customHeight="1" x14ac:dyDescent="0.25">
      <c r="B747" s="1"/>
      <c r="C747" s="1"/>
      <c r="D747" s="2"/>
      <c r="E747" s="3"/>
      <c r="G747" s="1"/>
      <c r="H747" s="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 spans="2:31" ht="14.25" hidden="1" customHeight="1" x14ac:dyDescent="0.25">
      <c r="B748" s="1"/>
      <c r="C748" s="1"/>
      <c r="D748" s="2"/>
      <c r="E748" s="3"/>
      <c r="G748" s="1"/>
      <c r="H748" s="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 spans="2:31" ht="14.25" hidden="1" customHeight="1" x14ac:dyDescent="0.25">
      <c r="B749" s="1"/>
      <c r="C749" s="1"/>
      <c r="D749" s="2"/>
      <c r="E749" s="3"/>
      <c r="G749" s="1"/>
      <c r="H749" s="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 spans="2:31" ht="14.25" hidden="1" customHeight="1" x14ac:dyDescent="0.25">
      <c r="B750" s="1"/>
      <c r="C750" s="1"/>
      <c r="D750" s="2"/>
      <c r="E750" s="3"/>
      <c r="G750" s="1"/>
      <c r="H750" s="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 spans="2:31" ht="14.25" hidden="1" customHeight="1" x14ac:dyDescent="0.25">
      <c r="B751" s="1"/>
      <c r="C751" s="1"/>
      <c r="D751" s="2"/>
      <c r="E751" s="3"/>
      <c r="G751" s="1"/>
      <c r="H751" s="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 spans="2:31" ht="14.25" hidden="1" customHeight="1" x14ac:dyDescent="0.25">
      <c r="B752" s="1"/>
      <c r="C752" s="1"/>
      <c r="D752" s="2"/>
      <c r="E752" s="3"/>
      <c r="G752" s="1"/>
      <c r="H752" s="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 spans="2:31" ht="14.25" hidden="1" customHeight="1" x14ac:dyDescent="0.25">
      <c r="B753" s="1"/>
      <c r="C753" s="1"/>
      <c r="D753" s="2"/>
      <c r="E753" s="3"/>
      <c r="G753" s="1"/>
      <c r="H753" s="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 spans="2:31" ht="14.25" hidden="1" customHeight="1" x14ac:dyDescent="0.25">
      <c r="B754" s="1"/>
      <c r="C754" s="1"/>
      <c r="D754" s="2"/>
      <c r="E754" s="3"/>
      <c r="G754" s="1"/>
      <c r="H754" s="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 spans="2:31" ht="14.25" hidden="1" customHeight="1" x14ac:dyDescent="0.25">
      <c r="B755" s="1"/>
      <c r="C755" s="1"/>
      <c r="D755" s="2"/>
      <c r="E755" s="3"/>
      <c r="G755" s="1"/>
      <c r="H755" s="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 spans="2:31" ht="14.25" hidden="1" customHeight="1" x14ac:dyDescent="0.25">
      <c r="B756" s="1"/>
      <c r="C756" s="1"/>
      <c r="D756" s="2"/>
      <c r="E756" s="3"/>
      <c r="G756" s="1"/>
      <c r="H756" s="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 spans="2:31" ht="14.25" hidden="1" customHeight="1" x14ac:dyDescent="0.25">
      <c r="B757" s="1"/>
      <c r="C757" s="1"/>
      <c r="D757" s="2"/>
      <c r="E757" s="3"/>
      <c r="G757" s="1"/>
      <c r="H757" s="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 spans="2:31" ht="14.25" hidden="1" customHeight="1" x14ac:dyDescent="0.25">
      <c r="B758" s="1"/>
      <c r="C758" s="1"/>
      <c r="D758" s="2"/>
      <c r="E758" s="3"/>
      <c r="G758" s="1"/>
      <c r="H758" s="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 spans="2:31" ht="14.25" hidden="1" customHeight="1" x14ac:dyDescent="0.25">
      <c r="B759" s="1"/>
      <c r="C759" s="1"/>
      <c r="D759" s="2"/>
      <c r="E759" s="3"/>
      <c r="G759" s="1"/>
      <c r="H759" s="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 spans="2:31" ht="14.25" hidden="1" customHeight="1" x14ac:dyDescent="0.25">
      <c r="B760" s="1"/>
      <c r="C760" s="1"/>
      <c r="D760" s="2"/>
      <c r="E760" s="3"/>
      <c r="G760" s="1"/>
      <c r="H760" s="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 spans="2:31" ht="14.25" hidden="1" customHeight="1" x14ac:dyDescent="0.25">
      <c r="B761" s="1"/>
      <c r="C761" s="1"/>
      <c r="D761" s="2"/>
      <c r="E761" s="3"/>
      <c r="G761" s="1"/>
      <c r="H761" s="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 spans="2:31" ht="14.25" hidden="1" customHeight="1" x14ac:dyDescent="0.25">
      <c r="B762" s="1"/>
      <c r="C762" s="1"/>
      <c r="D762" s="2"/>
      <c r="E762" s="3"/>
      <c r="G762" s="1"/>
      <c r="H762" s="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 spans="2:31" ht="14.25" hidden="1" customHeight="1" x14ac:dyDescent="0.25">
      <c r="B763" s="1"/>
      <c r="C763" s="1"/>
      <c r="D763" s="2"/>
      <c r="E763" s="3"/>
      <c r="G763" s="1"/>
      <c r="H763" s="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 spans="2:31" ht="14.25" hidden="1" customHeight="1" x14ac:dyDescent="0.25">
      <c r="B764" s="1"/>
      <c r="C764" s="1"/>
      <c r="D764" s="2"/>
      <c r="E764" s="3"/>
      <c r="G764" s="1"/>
      <c r="H764" s="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 spans="2:31" ht="14.25" hidden="1" customHeight="1" x14ac:dyDescent="0.25">
      <c r="B765" s="1"/>
      <c r="C765" s="1"/>
      <c r="D765" s="2"/>
      <c r="E765" s="3"/>
      <c r="G765" s="1"/>
      <c r="H765" s="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 spans="2:31" ht="14.25" hidden="1" customHeight="1" x14ac:dyDescent="0.25">
      <c r="B766" s="1"/>
      <c r="C766" s="1"/>
      <c r="D766" s="2"/>
      <c r="E766" s="3"/>
      <c r="G766" s="1"/>
      <c r="H766" s="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 spans="2:31" ht="14.25" hidden="1" customHeight="1" x14ac:dyDescent="0.25">
      <c r="B767" s="1"/>
      <c r="C767" s="1"/>
      <c r="D767" s="2"/>
      <c r="E767" s="3"/>
      <c r="G767" s="1"/>
      <c r="H767" s="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 spans="2:31" ht="14.25" hidden="1" customHeight="1" x14ac:dyDescent="0.25">
      <c r="B768" s="1"/>
      <c r="C768" s="1"/>
      <c r="D768" s="2"/>
      <c r="E768" s="3"/>
      <c r="G768" s="1"/>
      <c r="H768" s="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 spans="2:31" ht="14.25" hidden="1" customHeight="1" x14ac:dyDescent="0.25">
      <c r="B769" s="1"/>
      <c r="C769" s="1"/>
      <c r="D769" s="2"/>
      <c r="E769" s="3"/>
      <c r="G769" s="1"/>
      <c r="H769" s="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 spans="2:31" ht="14.25" hidden="1" customHeight="1" x14ac:dyDescent="0.25">
      <c r="B770" s="1"/>
      <c r="C770" s="1"/>
      <c r="D770" s="2"/>
      <c r="E770" s="3"/>
      <c r="G770" s="1"/>
      <c r="H770" s="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 spans="2:31" ht="14.25" hidden="1" customHeight="1" x14ac:dyDescent="0.25">
      <c r="B771" s="1"/>
      <c r="C771" s="1"/>
      <c r="D771" s="2"/>
      <c r="E771" s="3"/>
      <c r="G771" s="1"/>
      <c r="H771" s="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 spans="2:31" ht="14.25" hidden="1" customHeight="1" x14ac:dyDescent="0.25">
      <c r="B772" s="1"/>
      <c r="C772" s="1"/>
      <c r="D772" s="2"/>
      <c r="E772" s="3"/>
      <c r="G772" s="1"/>
      <c r="H772" s="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 spans="2:31" ht="14.25" hidden="1" customHeight="1" x14ac:dyDescent="0.25">
      <c r="B773" s="1"/>
      <c r="C773" s="1"/>
      <c r="D773" s="2"/>
      <c r="E773" s="3"/>
      <c r="G773" s="1"/>
      <c r="H773" s="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 spans="2:31" ht="14.25" hidden="1" customHeight="1" x14ac:dyDescent="0.25">
      <c r="B774" s="1"/>
      <c r="C774" s="1"/>
      <c r="D774" s="2"/>
      <c r="E774" s="3"/>
      <c r="G774" s="1"/>
      <c r="H774" s="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 spans="2:31" ht="14.25" hidden="1" customHeight="1" x14ac:dyDescent="0.25">
      <c r="B775" s="1"/>
      <c r="C775" s="1"/>
      <c r="D775" s="2"/>
      <c r="E775" s="3"/>
      <c r="G775" s="1"/>
      <c r="H775" s="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 spans="2:31" ht="14.25" hidden="1" customHeight="1" x14ac:dyDescent="0.25">
      <c r="B776" s="1"/>
      <c r="C776" s="1"/>
      <c r="D776" s="2"/>
      <c r="E776" s="3"/>
      <c r="G776" s="1"/>
      <c r="H776" s="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 spans="2:31" ht="14.25" hidden="1" customHeight="1" x14ac:dyDescent="0.25">
      <c r="B777" s="1"/>
      <c r="C777" s="1"/>
      <c r="D777" s="2"/>
      <c r="E777" s="3"/>
      <c r="G777" s="1"/>
      <c r="H777" s="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 spans="2:31" ht="14.25" hidden="1" customHeight="1" x14ac:dyDescent="0.25">
      <c r="B778" s="1"/>
      <c r="C778" s="1"/>
      <c r="D778" s="2"/>
      <c r="E778" s="3"/>
      <c r="G778" s="1"/>
      <c r="H778" s="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 spans="2:31" ht="14.25" hidden="1" customHeight="1" x14ac:dyDescent="0.25">
      <c r="B779" s="1"/>
      <c r="C779" s="1"/>
      <c r="D779" s="2"/>
      <c r="E779" s="3"/>
      <c r="G779" s="1"/>
      <c r="H779" s="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 spans="2:31" ht="14.25" hidden="1" customHeight="1" x14ac:dyDescent="0.25">
      <c r="B780" s="1"/>
      <c r="C780" s="1"/>
      <c r="D780" s="2"/>
      <c r="E780" s="3"/>
      <c r="G780" s="1"/>
      <c r="H780" s="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 spans="2:31" ht="14.25" hidden="1" customHeight="1" x14ac:dyDescent="0.25">
      <c r="B781" s="1"/>
      <c r="C781" s="1"/>
      <c r="D781" s="2"/>
      <c r="E781" s="3"/>
      <c r="G781" s="1"/>
      <c r="H781" s="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 spans="2:31" ht="14.25" hidden="1" customHeight="1" x14ac:dyDescent="0.25">
      <c r="B782" s="1"/>
      <c r="C782" s="1"/>
      <c r="D782" s="2"/>
      <c r="E782" s="3"/>
      <c r="G782" s="1"/>
      <c r="H782" s="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 spans="2:31" ht="14.25" hidden="1" customHeight="1" x14ac:dyDescent="0.25">
      <c r="B783" s="1"/>
      <c r="C783" s="1"/>
      <c r="D783" s="2"/>
      <c r="E783" s="3"/>
      <c r="G783" s="1"/>
      <c r="H783" s="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 spans="2:31" ht="14.25" hidden="1" customHeight="1" x14ac:dyDescent="0.25">
      <c r="B784" s="1"/>
      <c r="C784" s="1"/>
      <c r="D784" s="2"/>
      <c r="E784" s="3"/>
      <c r="G784" s="1"/>
      <c r="H784" s="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 spans="2:31" ht="14.25" hidden="1" customHeight="1" x14ac:dyDescent="0.25">
      <c r="B785" s="1"/>
      <c r="C785" s="1"/>
      <c r="D785" s="2"/>
      <c r="E785" s="3"/>
      <c r="G785" s="1"/>
      <c r="H785" s="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 spans="2:31" ht="14.25" hidden="1" customHeight="1" x14ac:dyDescent="0.25">
      <c r="B786" s="1"/>
      <c r="C786" s="1"/>
      <c r="D786" s="2"/>
      <c r="E786" s="3"/>
      <c r="G786" s="1"/>
      <c r="H786" s="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 spans="2:31" ht="14.25" hidden="1" customHeight="1" x14ac:dyDescent="0.25">
      <c r="B787" s="1"/>
      <c r="C787" s="1"/>
      <c r="D787" s="2"/>
      <c r="E787" s="3"/>
      <c r="G787" s="1"/>
      <c r="H787" s="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 spans="2:31" ht="14.25" hidden="1" customHeight="1" x14ac:dyDescent="0.25">
      <c r="B788" s="1"/>
      <c r="C788" s="1"/>
      <c r="D788" s="2"/>
      <c r="E788" s="3"/>
      <c r="G788" s="1"/>
      <c r="H788" s="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 spans="2:31" ht="14.25" hidden="1" customHeight="1" x14ac:dyDescent="0.25">
      <c r="B789" s="1"/>
      <c r="C789" s="1"/>
      <c r="D789" s="2"/>
      <c r="E789" s="3"/>
      <c r="G789" s="1"/>
      <c r="H789" s="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 spans="2:31" ht="14.25" hidden="1" customHeight="1" x14ac:dyDescent="0.25">
      <c r="B790" s="1"/>
      <c r="C790" s="1"/>
      <c r="D790" s="2"/>
      <c r="E790" s="3"/>
      <c r="G790" s="1"/>
      <c r="H790" s="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 spans="2:31" ht="14.25" hidden="1" customHeight="1" x14ac:dyDescent="0.25">
      <c r="B791" s="1"/>
      <c r="C791" s="1"/>
      <c r="D791" s="2"/>
      <c r="E791" s="3"/>
      <c r="G791" s="1"/>
      <c r="H791" s="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 spans="2:31" ht="14.25" hidden="1" customHeight="1" x14ac:dyDescent="0.25">
      <c r="B792" s="1"/>
      <c r="C792" s="1"/>
      <c r="D792" s="2"/>
      <c r="E792" s="3"/>
      <c r="G792" s="1"/>
      <c r="H792" s="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 spans="2:31" ht="14.25" hidden="1" customHeight="1" x14ac:dyDescent="0.25">
      <c r="B793" s="1"/>
      <c r="C793" s="1"/>
      <c r="D793" s="2"/>
      <c r="E793" s="3"/>
      <c r="G793" s="1"/>
      <c r="H793" s="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 spans="2:31" ht="14.25" hidden="1" customHeight="1" x14ac:dyDescent="0.25">
      <c r="B794" s="1"/>
      <c r="C794" s="1"/>
      <c r="D794" s="2"/>
      <c r="E794" s="3"/>
      <c r="G794" s="1"/>
      <c r="H794" s="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 spans="2:31" ht="14.25" hidden="1" customHeight="1" x14ac:dyDescent="0.25">
      <c r="B795" s="1"/>
      <c r="C795" s="1"/>
      <c r="D795" s="2"/>
      <c r="E795" s="3"/>
      <c r="G795" s="1"/>
      <c r="H795" s="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 spans="2:31" ht="14.25" hidden="1" customHeight="1" x14ac:dyDescent="0.25">
      <c r="B796" s="1"/>
      <c r="C796" s="1"/>
      <c r="D796" s="2"/>
      <c r="E796" s="3"/>
      <c r="G796" s="1"/>
      <c r="H796" s="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 spans="2:31" ht="14.25" hidden="1" customHeight="1" x14ac:dyDescent="0.25">
      <c r="B797" s="1"/>
      <c r="C797" s="1"/>
      <c r="D797" s="2"/>
      <c r="E797" s="3"/>
      <c r="G797" s="1"/>
      <c r="H797" s="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 spans="2:31" ht="14.25" hidden="1" customHeight="1" x14ac:dyDescent="0.25">
      <c r="B798" s="1"/>
      <c r="C798" s="1"/>
      <c r="D798" s="2"/>
      <c r="E798" s="3"/>
      <c r="G798" s="1"/>
      <c r="H798" s="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 spans="2:31" ht="14.25" hidden="1" customHeight="1" x14ac:dyDescent="0.25">
      <c r="B799" s="1"/>
      <c r="C799" s="1"/>
      <c r="D799" s="2"/>
      <c r="E799" s="3"/>
      <c r="G799" s="1"/>
      <c r="H799" s="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 spans="2:31" ht="14.25" hidden="1" customHeight="1" x14ac:dyDescent="0.25">
      <c r="B800" s="1"/>
      <c r="C800" s="1"/>
      <c r="D800" s="2"/>
      <c r="E800" s="3"/>
      <c r="G800" s="1"/>
      <c r="H800" s="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 spans="2:31" ht="14.25" hidden="1" customHeight="1" x14ac:dyDescent="0.25">
      <c r="B801" s="1"/>
      <c r="C801" s="1"/>
      <c r="D801" s="2"/>
      <c r="E801" s="3"/>
      <c r="G801" s="1"/>
      <c r="H801" s="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 spans="2:31" ht="14.25" hidden="1" customHeight="1" x14ac:dyDescent="0.25">
      <c r="B802" s="1"/>
      <c r="C802" s="1"/>
      <c r="D802" s="2"/>
      <c r="E802" s="3"/>
      <c r="G802" s="1"/>
      <c r="H802" s="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 spans="2:31" ht="14.25" hidden="1" customHeight="1" x14ac:dyDescent="0.25">
      <c r="B803" s="1"/>
      <c r="C803" s="1"/>
      <c r="D803" s="2"/>
      <c r="E803" s="3"/>
      <c r="G803" s="1"/>
      <c r="H803" s="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 spans="2:31" ht="14.25" hidden="1" customHeight="1" x14ac:dyDescent="0.25">
      <c r="B804" s="1"/>
      <c r="C804" s="1"/>
      <c r="D804" s="2"/>
      <c r="E804" s="3"/>
      <c r="G804" s="1"/>
      <c r="H804" s="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 spans="2:31" ht="14.25" hidden="1" customHeight="1" x14ac:dyDescent="0.25">
      <c r="B805" s="1"/>
      <c r="C805" s="1"/>
      <c r="D805" s="2"/>
      <c r="E805" s="3"/>
      <c r="G805" s="1"/>
      <c r="H805" s="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 spans="2:31" ht="14.25" hidden="1" customHeight="1" x14ac:dyDescent="0.25">
      <c r="B806" s="1"/>
      <c r="C806" s="1"/>
      <c r="D806" s="2"/>
      <c r="E806" s="3"/>
      <c r="G806" s="1"/>
      <c r="H806" s="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 spans="2:31" ht="14.25" hidden="1" customHeight="1" x14ac:dyDescent="0.25">
      <c r="B807" s="1"/>
      <c r="C807" s="1"/>
      <c r="D807" s="2"/>
      <c r="E807" s="3"/>
      <c r="G807" s="1"/>
      <c r="H807" s="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 spans="2:31" ht="14.25" hidden="1" customHeight="1" x14ac:dyDescent="0.25">
      <c r="B808" s="1"/>
      <c r="C808" s="1"/>
      <c r="D808" s="2"/>
      <c r="E808" s="3"/>
      <c r="G808" s="1"/>
      <c r="H808" s="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 spans="2:31" ht="14.25" hidden="1" customHeight="1" x14ac:dyDescent="0.25">
      <c r="B809" s="1"/>
      <c r="C809" s="1"/>
      <c r="D809" s="2"/>
      <c r="E809" s="3"/>
      <c r="G809" s="1"/>
      <c r="H809" s="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 spans="2:31" ht="14.25" hidden="1" customHeight="1" x14ac:dyDescent="0.25">
      <c r="B810" s="1"/>
      <c r="C810" s="1"/>
      <c r="D810" s="2"/>
      <c r="E810" s="3"/>
      <c r="G810" s="1"/>
      <c r="H810" s="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 spans="2:31" ht="14.25" hidden="1" customHeight="1" x14ac:dyDescent="0.25">
      <c r="B811" s="1"/>
      <c r="C811" s="1"/>
      <c r="D811" s="2"/>
      <c r="E811" s="3"/>
      <c r="G811" s="1"/>
      <c r="H811" s="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 spans="2:31" ht="14.25" hidden="1" customHeight="1" x14ac:dyDescent="0.25">
      <c r="B812" s="1"/>
      <c r="C812" s="1"/>
      <c r="D812" s="2"/>
      <c r="E812" s="3"/>
      <c r="G812" s="1"/>
      <c r="H812" s="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 spans="2:31" ht="14.25" hidden="1" customHeight="1" x14ac:dyDescent="0.25">
      <c r="B813" s="1"/>
      <c r="C813" s="1"/>
      <c r="D813" s="2"/>
      <c r="E813" s="3"/>
      <c r="G813" s="1"/>
      <c r="H813" s="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 spans="2:31" ht="14.25" hidden="1" customHeight="1" x14ac:dyDescent="0.25">
      <c r="B814" s="1"/>
      <c r="C814" s="1"/>
      <c r="D814" s="2"/>
      <c r="E814" s="3"/>
      <c r="G814" s="1"/>
      <c r="H814" s="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 spans="2:31" ht="14.25" hidden="1" customHeight="1" x14ac:dyDescent="0.25">
      <c r="B815" s="1"/>
      <c r="C815" s="1"/>
      <c r="D815" s="2"/>
      <c r="E815" s="3"/>
      <c r="G815" s="1"/>
      <c r="H815" s="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 spans="2:31" ht="14.25" hidden="1" customHeight="1" x14ac:dyDescent="0.25">
      <c r="B816" s="1"/>
      <c r="C816" s="1"/>
      <c r="D816" s="2"/>
      <c r="E816" s="3"/>
      <c r="G816" s="1"/>
      <c r="H816" s="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 spans="2:31" ht="14.25" hidden="1" customHeight="1" x14ac:dyDescent="0.25">
      <c r="B817" s="1"/>
      <c r="C817" s="1"/>
      <c r="D817" s="2"/>
      <c r="E817" s="3"/>
      <c r="G817" s="1"/>
      <c r="H817" s="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 spans="2:31" ht="14.25" hidden="1" customHeight="1" x14ac:dyDescent="0.25">
      <c r="B818" s="1"/>
      <c r="C818" s="1"/>
      <c r="D818" s="2"/>
      <c r="E818" s="3"/>
      <c r="G818" s="1"/>
      <c r="H818" s="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 spans="2:31" ht="14.25" hidden="1" customHeight="1" x14ac:dyDescent="0.25">
      <c r="B819" s="1"/>
      <c r="C819" s="1"/>
      <c r="D819" s="2"/>
      <c r="E819" s="3"/>
      <c r="G819" s="1"/>
      <c r="H819" s="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 spans="2:31" ht="14.25" hidden="1" customHeight="1" x14ac:dyDescent="0.25">
      <c r="B820" s="1"/>
      <c r="C820" s="1"/>
      <c r="D820" s="2"/>
      <c r="E820" s="3"/>
      <c r="G820" s="1"/>
      <c r="H820" s="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 spans="2:31" ht="14.25" hidden="1" customHeight="1" x14ac:dyDescent="0.25">
      <c r="B821" s="1"/>
      <c r="C821" s="1"/>
      <c r="D821" s="2"/>
      <c r="E821" s="3"/>
      <c r="G821" s="1"/>
      <c r="H821" s="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 spans="2:31" ht="14.25" hidden="1" customHeight="1" x14ac:dyDescent="0.25">
      <c r="B822" s="1"/>
      <c r="C822" s="1"/>
      <c r="D822" s="2"/>
      <c r="E822" s="3"/>
      <c r="G822" s="1"/>
      <c r="H822" s="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 spans="2:31" ht="14.25" hidden="1" customHeight="1" x14ac:dyDescent="0.25">
      <c r="B823" s="1"/>
      <c r="C823" s="1"/>
      <c r="D823" s="2"/>
      <c r="E823" s="3"/>
      <c r="G823" s="1"/>
      <c r="H823" s="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 spans="2:31" ht="14.25" hidden="1" customHeight="1" x14ac:dyDescent="0.25">
      <c r="B824" s="1"/>
      <c r="C824" s="1"/>
      <c r="D824" s="2"/>
      <c r="E824" s="3"/>
      <c r="G824" s="1"/>
      <c r="H824" s="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 spans="2:31" ht="14.25" hidden="1" customHeight="1" x14ac:dyDescent="0.25">
      <c r="B825" s="1"/>
      <c r="C825" s="1"/>
      <c r="D825" s="2"/>
      <c r="E825" s="3"/>
      <c r="G825" s="1"/>
      <c r="H825" s="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 spans="2:31" ht="14.25" hidden="1" customHeight="1" x14ac:dyDescent="0.25">
      <c r="B826" s="1"/>
      <c r="C826" s="1"/>
      <c r="D826" s="2"/>
      <c r="E826" s="3"/>
      <c r="G826" s="1"/>
      <c r="H826" s="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 spans="2:31" ht="14.25" hidden="1" customHeight="1" x14ac:dyDescent="0.25">
      <c r="B827" s="1"/>
      <c r="C827" s="1"/>
      <c r="D827" s="2"/>
      <c r="E827" s="3"/>
      <c r="G827" s="1"/>
      <c r="H827" s="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 spans="2:31" ht="14.25" hidden="1" customHeight="1" x14ac:dyDescent="0.25">
      <c r="B828" s="1"/>
      <c r="C828" s="1"/>
      <c r="D828" s="2"/>
      <c r="E828" s="3"/>
      <c r="G828" s="1"/>
      <c r="H828" s="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 spans="2:31" ht="14.25" hidden="1" customHeight="1" x14ac:dyDescent="0.25">
      <c r="B829" s="1"/>
      <c r="C829" s="1"/>
      <c r="D829" s="2"/>
      <c r="E829" s="3"/>
      <c r="G829" s="1"/>
      <c r="H829" s="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 spans="2:31" ht="14.25" hidden="1" customHeight="1" x14ac:dyDescent="0.25">
      <c r="B830" s="1"/>
      <c r="C830" s="1"/>
      <c r="D830" s="2"/>
      <c r="E830" s="3"/>
      <c r="G830" s="1"/>
      <c r="H830" s="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 spans="2:31" ht="14.25" hidden="1" customHeight="1" x14ac:dyDescent="0.25">
      <c r="B831" s="1"/>
      <c r="C831" s="1"/>
      <c r="D831" s="2"/>
      <c r="E831" s="3"/>
      <c r="G831" s="1"/>
      <c r="H831" s="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 spans="2:31" ht="14.25" hidden="1" customHeight="1" x14ac:dyDescent="0.25">
      <c r="B832" s="1"/>
      <c r="C832" s="1"/>
      <c r="D832" s="2"/>
      <c r="E832" s="3"/>
      <c r="G832" s="1"/>
      <c r="H832" s="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 spans="2:31" ht="14.25" hidden="1" customHeight="1" x14ac:dyDescent="0.25">
      <c r="B833" s="1"/>
      <c r="C833" s="1"/>
      <c r="D833" s="2"/>
      <c r="E833" s="3"/>
      <c r="G833" s="1"/>
      <c r="H833" s="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 spans="2:31" ht="14.25" hidden="1" customHeight="1" x14ac:dyDescent="0.25">
      <c r="B834" s="1"/>
      <c r="C834" s="1"/>
      <c r="D834" s="2"/>
      <c r="E834" s="3"/>
      <c r="G834" s="1"/>
      <c r="H834" s="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 spans="2:31" ht="14.25" hidden="1" customHeight="1" x14ac:dyDescent="0.25">
      <c r="B835" s="1"/>
      <c r="C835" s="1"/>
      <c r="D835" s="2"/>
      <c r="E835" s="3"/>
      <c r="G835" s="1"/>
      <c r="H835" s="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 spans="2:31" ht="14.25" hidden="1" customHeight="1" x14ac:dyDescent="0.25">
      <c r="B836" s="1"/>
      <c r="C836" s="1"/>
      <c r="D836" s="2"/>
      <c r="E836" s="3"/>
      <c r="G836" s="1"/>
      <c r="H836" s="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 spans="2:31" ht="14.25" hidden="1" customHeight="1" x14ac:dyDescent="0.25">
      <c r="B837" s="1"/>
      <c r="C837" s="1"/>
      <c r="D837" s="2"/>
      <c r="E837" s="3"/>
      <c r="G837" s="1"/>
      <c r="H837" s="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 spans="2:31" ht="14.25" hidden="1" customHeight="1" x14ac:dyDescent="0.25">
      <c r="B838" s="1"/>
      <c r="C838" s="1"/>
      <c r="D838" s="2"/>
      <c r="E838" s="3"/>
      <c r="G838" s="1"/>
      <c r="H838" s="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 spans="2:31" ht="14.25" hidden="1" customHeight="1" x14ac:dyDescent="0.25">
      <c r="B839" s="1"/>
      <c r="C839" s="1"/>
      <c r="D839" s="2"/>
      <c r="E839" s="3"/>
      <c r="G839" s="1"/>
      <c r="H839" s="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 spans="2:31" ht="14.25" hidden="1" customHeight="1" x14ac:dyDescent="0.25">
      <c r="B840" s="1"/>
      <c r="C840" s="1"/>
      <c r="D840" s="2"/>
      <c r="E840" s="3"/>
      <c r="G840" s="1"/>
      <c r="H840" s="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 spans="2:31" ht="14.25" hidden="1" customHeight="1" x14ac:dyDescent="0.25">
      <c r="B841" s="1"/>
      <c r="C841" s="1"/>
      <c r="D841" s="2"/>
      <c r="E841" s="3"/>
      <c r="G841" s="1"/>
      <c r="H841" s="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 spans="2:31" ht="14.25" hidden="1" customHeight="1" x14ac:dyDescent="0.25">
      <c r="B842" s="1"/>
      <c r="C842" s="1"/>
      <c r="D842" s="2"/>
      <c r="E842" s="3"/>
      <c r="G842" s="1"/>
      <c r="H842" s="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 spans="2:31" ht="14.25" hidden="1" customHeight="1" x14ac:dyDescent="0.25">
      <c r="B843" s="1"/>
      <c r="C843" s="1"/>
      <c r="D843" s="2"/>
      <c r="E843" s="3"/>
      <c r="G843" s="1"/>
      <c r="H843" s="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 spans="2:31" ht="14.25" hidden="1" customHeight="1" x14ac:dyDescent="0.25">
      <c r="B844" s="1"/>
      <c r="C844" s="1"/>
      <c r="D844" s="2"/>
      <c r="E844" s="3"/>
      <c r="G844" s="1"/>
      <c r="H844" s="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 spans="2:31" ht="14.25" hidden="1" customHeight="1" x14ac:dyDescent="0.25">
      <c r="B845" s="1"/>
      <c r="C845" s="1"/>
      <c r="D845" s="2"/>
      <c r="E845" s="3"/>
      <c r="G845" s="1"/>
      <c r="H845" s="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 spans="2:31" ht="14.25" hidden="1" customHeight="1" x14ac:dyDescent="0.25">
      <c r="B846" s="1"/>
      <c r="C846" s="1"/>
      <c r="D846" s="2"/>
      <c r="E846" s="3"/>
      <c r="G846" s="1"/>
      <c r="H846" s="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 spans="2:31" ht="14.25" hidden="1" customHeight="1" x14ac:dyDescent="0.25">
      <c r="B847" s="1"/>
      <c r="C847" s="1"/>
      <c r="D847" s="2"/>
      <c r="E847" s="3"/>
      <c r="G847" s="1"/>
      <c r="H847" s="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 spans="2:31" ht="14.25" hidden="1" customHeight="1" x14ac:dyDescent="0.25">
      <c r="B848" s="1"/>
      <c r="C848" s="1"/>
      <c r="D848" s="2"/>
      <c r="E848" s="3"/>
      <c r="G848" s="1"/>
      <c r="H848" s="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 spans="2:31" ht="14.25" hidden="1" customHeight="1" x14ac:dyDescent="0.25">
      <c r="B849" s="1"/>
      <c r="C849" s="1"/>
      <c r="D849" s="2"/>
      <c r="E849" s="3"/>
      <c r="G849" s="1"/>
      <c r="H849" s="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 spans="2:31" ht="14.25" hidden="1" customHeight="1" x14ac:dyDescent="0.25">
      <c r="B850" s="1"/>
      <c r="C850" s="1"/>
      <c r="D850" s="2"/>
      <c r="E850" s="3"/>
      <c r="G850" s="1"/>
      <c r="H850" s="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 spans="2:31" ht="14.25" hidden="1" customHeight="1" x14ac:dyDescent="0.25">
      <c r="B851" s="1"/>
      <c r="C851" s="1"/>
      <c r="D851" s="2"/>
      <c r="E851" s="3"/>
      <c r="G851" s="1"/>
      <c r="H851" s="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 spans="2:31" ht="14.25" hidden="1" customHeight="1" x14ac:dyDescent="0.25">
      <c r="B852" s="1"/>
      <c r="C852" s="1"/>
      <c r="D852" s="2"/>
      <c r="E852" s="3"/>
      <c r="G852" s="1"/>
      <c r="H852" s="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 spans="2:31" ht="14.25" hidden="1" customHeight="1" x14ac:dyDescent="0.25">
      <c r="B853" s="1"/>
      <c r="C853" s="1"/>
      <c r="D853" s="2"/>
      <c r="E853" s="3"/>
      <c r="G853" s="1"/>
      <c r="H853" s="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 spans="2:31" ht="14.25" hidden="1" customHeight="1" x14ac:dyDescent="0.25">
      <c r="B854" s="1"/>
      <c r="C854" s="1"/>
      <c r="D854" s="2"/>
      <c r="E854" s="3"/>
      <c r="G854" s="1"/>
      <c r="H854" s="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 spans="2:31" ht="14.25" hidden="1" customHeight="1" x14ac:dyDescent="0.25">
      <c r="B855" s="1"/>
      <c r="C855" s="1"/>
      <c r="D855" s="2"/>
      <c r="E855" s="3"/>
      <c r="G855" s="1"/>
      <c r="H855" s="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 spans="2:31" ht="14.25" hidden="1" customHeight="1" x14ac:dyDescent="0.25">
      <c r="B856" s="1"/>
      <c r="C856" s="1"/>
      <c r="D856" s="2"/>
      <c r="E856" s="3"/>
      <c r="G856" s="1"/>
      <c r="H856" s="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 spans="2:31" ht="14.25" hidden="1" customHeight="1" x14ac:dyDescent="0.25">
      <c r="B857" s="1"/>
      <c r="C857" s="1"/>
      <c r="D857" s="2"/>
      <c r="E857" s="3"/>
      <c r="G857" s="1"/>
      <c r="H857" s="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 spans="2:31" ht="14.25" hidden="1" customHeight="1" x14ac:dyDescent="0.25">
      <c r="B858" s="1"/>
      <c r="C858" s="1"/>
      <c r="D858" s="2"/>
      <c r="E858" s="3"/>
      <c r="G858" s="1"/>
      <c r="H858" s="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 spans="2:31" ht="14.25" hidden="1" customHeight="1" x14ac:dyDescent="0.25">
      <c r="B859" s="1"/>
      <c r="C859" s="1"/>
      <c r="D859" s="2"/>
      <c r="E859" s="3"/>
      <c r="G859" s="1"/>
      <c r="H859" s="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 spans="2:31" ht="14.25" hidden="1" customHeight="1" x14ac:dyDescent="0.25">
      <c r="B860" s="1"/>
      <c r="C860" s="1"/>
      <c r="D860" s="2"/>
      <c r="E860" s="3"/>
      <c r="G860" s="1"/>
      <c r="H860" s="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 spans="2:31" ht="14.25" hidden="1" customHeight="1" x14ac:dyDescent="0.25">
      <c r="B861" s="1"/>
      <c r="C861" s="1"/>
      <c r="D861" s="2"/>
      <c r="E861" s="3"/>
      <c r="G861" s="1"/>
      <c r="H861" s="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 spans="2:31" ht="14.25" hidden="1" customHeight="1" x14ac:dyDescent="0.25">
      <c r="B862" s="1"/>
      <c r="C862" s="1"/>
      <c r="D862" s="2"/>
      <c r="E862" s="3"/>
      <c r="G862" s="1"/>
      <c r="H862" s="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r="863" spans="2:31" ht="14.25" hidden="1" customHeight="1" x14ac:dyDescent="0.25">
      <c r="B863" s="1"/>
      <c r="C863" s="1"/>
      <c r="D863" s="2"/>
      <c r="E863" s="3"/>
      <c r="G863" s="1"/>
      <c r="H863" s="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r="864" spans="2:31" ht="14.25" hidden="1" customHeight="1" x14ac:dyDescent="0.25">
      <c r="B864" s="1"/>
      <c r="C864" s="1"/>
      <c r="D864" s="2"/>
      <c r="E864" s="3"/>
      <c r="G864" s="1"/>
      <c r="H864" s="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 spans="2:31" ht="14.25" hidden="1" customHeight="1" x14ac:dyDescent="0.25">
      <c r="B865" s="1"/>
      <c r="C865" s="1"/>
      <c r="D865" s="2"/>
      <c r="E865" s="3"/>
      <c r="G865" s="1"/>
      <c r="H865" s="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 spans="2:31" ht="14.25" hidden="1" customHeight="1" x14ac:dyDescent="0.25">
      <c r="B866" s="1"/>
      <c r="C866" s="1"/>
      <c r="D866" s="2"/>
      <c r="E866" s="3"/>
      <c r="G866" s="1"/>
      <c r="H866" s="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 spans="2:31" ht="14.25" hidden="1" customHeight="1" x14ac:dyDescent="0.25">
      <c r="B867" s="1"/>
      <c r="C867" s="1"/>
      <c r="D867" s="2"/>
      <c r="E867" s="3"/>
      <c r="G867" s="1"/>
      <c r="H867" s="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r="868" spans="2:31" ht="14.25" hidden="1" customHeight="1" x14ac:dyDescent="0.25">
      <c r="B868" s="1"/>
      <c r="C868" s="1"/>
      <c r="D868" s="2"/>
      <c r="E868" s="3"/>
      <c r="G868" s="1"/>
      <c r="H868" s="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r="869" spans="2:31" ht="14.25" hidden="1" customHeight="1" x14ac:dyDescent="0.25">
      <c r="B869" s="1"/>
      <c r="C869" s="1"/>
      <c r="D869" s="2"/>
      <c r="E869" s="3"/>
      <c r="G869" s="1"/>
      <c r="H869" s="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 spans="2:31" ht="14.25" hidden="1" customHeight="1" x14ac:dyDescent="0.25">
      <c r="B870" s="1"/>
      <c r="C870" s="1"/>
      <c r="D870" s="2"/>
      <c r="E870" s="3"/>
      <c r="G870" s="1"/>
      <c r="H870" s="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r="871" spans="2:31" ht="14.25" hidden="1" customHeight="1" x14ac:dyDescent="0.25">
      <c r="B871" s="1"/>
      <c r="C871" s="1"/>
      <c r="D871" s="2"/>
      <c r="E871" s="3"/>
      <c r="G871" s="1"/>
      <c r="H871" s="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r="872" spans="2:31" ht="14.25" hidden="1" customHeight="1" x14ac:dyDescent="0.25">
      <c r="B872" s="1"/>
      <c r="C872" s="1"/>
      <c r="D872" s="2"/>
      <c r="E872" s="3"/>
      <c r="G872" s="1"/>
      <c r="H872" s="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 spans="2:31" ht="14.25" hidden="1" customHeight="1" x14ac:dyDescent="0.25">
      <c r="B873" s="1"/>
      <c r="C873" s="1"/>
      <c r="D873" s="2"/>
      <c r="E873" s="3"/>
      <c r="G873" s="1"/>
      <c r="H873" s="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r="874" spans="2:31" ht="14.25" hidden="1" customHeight="1" x14ac:dyDescent="0.25">
      <c r="B874" s="1"/>
      <c r="C874" s="1"/>
      <c r="D874" s="2"/>
      <c r="E874" s="3"/>
      <c r="G874" s="1"/>
      <c r="H874" s="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r="875" spans="2:31" ht="14.25" hidden="1" customHeight="1" x14ac:dyDescent="0.25">
      <c r="B875" s="1"/>
      <c r="C875" s="1"/>
      <c r="D875" s="2"/>
      <c r="E875" s="3"/>
      <c r="G875" s="1"/>
      <c r="H875" s="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 spans="2:31" ht="14.25" hidden="1" customHeight="1" x14ac:dyDescent="0.25">
      <c r="B876" s="1"/>
      <c r="C876" s="1"/>
      <c r="D876" s="2"/>
      <c r="E876" s="3"/>
      <c r="G876" s="1"/>
      <c r="H876" s="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r="877" spans="2:31" ht="14.25" hidden="1" customHeight="1" x14ac:dyDescent="0.25">
      <c r="B877" s="1"/>
      <c r="C877" s="1"/>
      <c r="D877" s="2"/>
      <c r="E877" s="3"/>
      <c r="G877" s="1"/>
      <c r="H877" s="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 spans="2:31" ht="14.25" hidden="1" customHeight="1" x14ac:dyDescent="0.25">
      <c r="B878" s="1"/>
      <c r="C878" s="1"/>
      <c r="D878" s="2"/>
      <c r="E878" s="3"/>
      <c r="G878" s="1"/>
      <c r="H878" s="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 spans="2:31" ht="14.25" hidden="1" customHeight="1" x14ac:dyDescent="0.25">
      <c r="B879" s="1"/>
      <c r="C879" s="1"/>
      <c r="D879" s="2"/>
      <c r="E879" s="3"/>
      <c r="G879" s="1"/>
      <c r="H879" s="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 spans="2:31" ht="14.25" hidden="1" customHeight="1" x14ac:dyDescent="0.25">
      <c r="B880" s="1"/>
      <c r="C880" s="1"/>
      <c r="D880" s="2"/>
      <c r="E880" s="3"/>
      <c r="G880" s="1"/>
      <c r="H880" s="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 spans="2:31" ht="14.25" hidden="1" customHeight="1" x14ac:dyDescent="0.25">
      <c r="B881" s="1"/>
      <c r="C881" s="1"/>
      <c r="D881" s="2"/>
      <c r="E881" s="3"/>
      <c r="G881" s="1"/>
      <c r="H881" s="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 spans="2:31" ht="14.25" hidden="1" customHeight="1" x14ac:dyDescent="0.25">
      <c r="B882" s="1"/>
      <c r="C882" s="1"/>
      <c r="D882" s="2"/>
      <c r="E882" s="3"/>
      <c r="G882" s="1"/>
      <c r="H882" s="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 spans="2:31" ht="14.25" hidden="1" customHeight="1" x14ac:dyDescent="0.25">
      <c r="B883" s="1"/>
      <c r="C883" s="1"/>
      <c r="D883" s="2"/>
      <c r="E883" s="3"/>
      <c r="G883" s="1"/>
      <c r="H883" s="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 spans="2:31" ht="14.25" hidden="1" customHeight="1" x14ac:dyDescent="0.25">
      <c r="B884" s="1"/>
      <c r="C884" s="1"/>
      <c r="D884" s="2"/>
      <c r="E884" s="3"/>
      <c r="G884" s="1"/>
      <c r="H884" s="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r="885" spans="2:31" ht="14.25" hidden="1" customHeight="1" x14ac:dyDescent="0.25">
      <c r="B885" s="1"/>
      <c r="C885" s="1"/>
      <c r="D885" s="2"/>
      <c r="E885" s="3"/>
      <c r="G885" s="1"/>
      <c r="H885" s="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 spans="2:31" ht="14.25" hidden="1" customHeight="1" x14ac:dyDescent="0.25">
      <c r="B886" s="1"/>
      <c r="C886" s="1"/>
      <c r="D886" s="2"/>
      <c r="E886" s="3"/>
      <c r="G886" s="1"/>
      <c r="H886" s="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 spans="2:31" ht="14.25" hidden="1" customHeight="1" x14ac:dyDescent="0.25">
      <c r="B887" s="1"/>
      <c r="C887" s="1"/>
      <c r="D887" s="2"/>
      <c r="E887" s="3"/>
      <c r="G887" s="1"/>
      <c r="H887" s="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r="888" spans="2:31" ht="14.25" hidden="1" customHeight="1" x14ac:dyDescent="0.25">
      <c r="B888" s="1"/>
      <c r="C888" s="1"/>
      <c r="D888" s="2"/>
      <c r="E888" s="3"/>
      <c r="G888" s="1"/>
      <c r="H888" s="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 spans="2:31" ht="14.25" hidden="1" customHeight="1" x14ac:dyDescent="0.25">
      <c r="B889" s="1"/>
      <c r="C889" s="1"/>
      <c r="D889" s="2"/>
      <c r="E889" s="3"/>
      <c r="G889" s="1"/>
      <c r="H889" s="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 spans="2:31" ht="14.25" hidden="1" customHeight="1" x14ac:dyDescent="0.25">
      <c r="B890" s="1"/>
      <c r="C890" s="1"/>
      <c r="D890" s="2"/>
      <c r="E890" s="3"/>
      <c r="G890" s="1"/>
      <c r="H890" s="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 spans="2:31" ht="14.25" hidden="1" customHeight="1" x14ac:dyDescent="0.25">
      <c r="B891" s="1"/>
      <c r="C891" s="1"/>
      <c r="D891" s="2"/>
      <c r="E891" s="3"/>
      <c r="G891" s="1"/>
      <c r="H891" s="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 spans="2:31" ht="14.25" hidden="1" customHeight="1" x14ac:dyDescent="0.25">
      <c r="B892" s="1"/>
      <c r="C892" s="1"/>
      <c r="D892" s="2"/>
      <c r="E892" s="3"/>
      <c r="G892" s="1"/>
      <c r="H892" s="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 spans="2:31" ht="14.25" hidden="1" customHeight="1" x14ac:dyDescent="0.25">
      <c r="B893" s="1"/>
      <c r="C893" s="1"/>
      <c r="D893" s="2"/>
      <c r="E893" s="3"/>
      <c r="G893" s="1"/>
      <c r="H893" s="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 spans="2:31" ht="14.25" hidden="1" customHeight="1" x14ac:dyDescent="0.25">
      <c r="B894" s="1"/>
      <c r="C894" s="1"/>
      <c r="D894" s="2"/>
      <c r="E894" s="3"/>
      <c r="G894" s="1"/>
      <c r="H894" s="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 spans="2:31" ht="14.25" hidden="1" customHeight="1" x14ac:dyDescent="0.25">
      <c r="B895" s="1"/>
      <c r="C895" s="1"/>
      <c r="D895" s="2"/>
      <c r="E895" s="3"/>
      <c r="G895" s="1"/>
      <c r="H895" s="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 spans="2:31" ht="14.25" hidden="1" customHeight="1" x14ac:dyDescent="0.25">
      <c r="B896" s="1"/>
      <c r="C896" s="1"/>
      <c r="D896" s="2"/>
      <c r="E896" s="3"/>
      <c r="G896" s="1"/>
      <c r="H896" s="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 spans="2:31" ht="14.25" hidden="1" customHeight="1" x14ac:dyDescent="0.25">
      <c r="B897" s="1"/>
      <c r="C897" s="1"/>
      <c r="D897" s="2"/>
      <c r="E897" s="3"/>
      <c r="G897" s="1"/>
      <c r="H897" s="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 spans="2:31" ht="14.25" hidden="1" customHeight="1" x14ac:dyDescent="0.25">
      <c r="B898" s="1"/>
      <c r="C898" s="1"/>
      <c r="D898" s="2"/>
      <c r="E898" s="3"/>
      <c r="G898" s="1"/>
      <c r="H898" s="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 spans="2:31" ht="14.25" hidden="1" customHeight="1" x14ac:dyDescent="0.25">
      <c r="B899" s="1"/>
      <c r="C899" s="1"/>
      <c r="D899" s="2"/>
      <c r="E899" s="3"/>
      <c r="G899" s="1"/>
      <c r="H899" s="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r="900" spans="2:31" ht="14.25" hidden="1" customHeight="1" x14ac:dyDescent="0.25">
      <c r="B900" s="1"/>
      <c r="C900" s="1"/>
      <c r="D900" s="2"/>
      <c r="E900" s="3"/>
      <c r="G900" s="1"/>
      <c r="H900" s="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 spans="2:31" ht="14.25" hidden="1" customHeight="1" x14ac:dyDescent="0.25">
      <c r="B901" s="1"/>
      <c r="C901" s="1"/>
      <c r="D901" s="2"/>
      <c r="E901" s="3"/>
      <c r="G901" s="1"/>
      <c r="H901" s="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r="902" spans="2:31" ht="14.25" hidden="1" customHeight="1" x14ac:dyDescent="0.25">
      <c r="B902" s="1"/>
      <c r="C902" s="1"/>
      <c r="D902" s="2"/>
      <c r="E902" s="3"/>
      <c r="G902" s="1"/>
      <c r="H902" s="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r="903" spans="2:31" ht="14.25" hidden="1" customHeight="1" x14ac:dyDescent="0.25">
      <c r="B903" s="1"/>
      <c r="C903" s="1"/>
      <c r="D903" s="2"/>
      <c r="E903" s="3"/>
      <c r="G903" s="1"/>
      <c r="H903" s="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r="904" spans="2:31" ht="14.25" hidden="1" customHeight="1" x14ac:dyDescent="0.25">
      <c r="B904" s="1"/>
      <c r="C904" s="1"/>
      <c r="D904" s="2"/>
      <c r="E904" s="3"/>
      <c r="G904" s="1"/>
      <c r="H904" s="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 spans="2:31" ht="14.25" hidden="1" customHeight="1" x14ac:dyDescent="0.25">
      <c r="B905" s="1"/>
      <c r="C905" s="1"/>
      <c r="D905" s="2"/>
      <c r="E905" s="3"/>
      <c r="G905" s="1"/>
      <c r="H905" s="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 spans="2:31" ht="14.25" hidden="1" customHeight="1" x14ac:dyDescent="0.25">
      <c r="B906" s="1"/>
      <c r="C906" s="1"/>
      <c r="D906" s="2"/>
      <c r="E906" s="3"/>
      <c r="G906" s="1"/>
      <c r="H906" s="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 spans="2:31" ht="14.25" hidden="1" customHeight="1" x14ac:dyDescent="0.25">
      <c r="B907" s="1"/>
      <c r="C907" s="1"/>
      <c r="D907" s="2"/>
      <c r="E907" s="3"/>
      <c r="G907" s="1"/>
      <c r="H907" s="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r="908" spans="2:31" ht="14.25" hidden="1" customHeight="1" x14ac:dyDescent="0.25">
      <c r="B908" s="1"/>
      <c r="C908" s="1"/>
      <c r="D908" s="2"/>
      <c r="E908" s="3"/>
      <c r="G908" s="1"/>
      <c r="H908" s="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r="909" spans="2:31" ht="14.25" hidden="1" customHeight="1" x14ac:dyDescent="0.25">
      <c r="B909" s="1"/>
      <c r="C909" s="1"/>
      <c r="D909" s="2"/>
      <c r="E909" s="3"/>
      <c r="G909" s="1"/>
      <c r="H909" s="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 spans="2:31" ht="14.25" hidden="1" customHeight="1" x14ac:dyDescent="0.25">
      <c r="B910" s="1"/>
      <c r="C910" s="1"/>
      <c r="D910" s="2"/>
      <c r="E910" s="3"/>
      <c r="G910" s="1"/>
      <c r="H910" s="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 spans="2:31" ht="14.25" hidden="1" customHeight="1" x14ac:dyDescent="0.25">
      <c r="B911" s="1"/>
      <c r="C911" s="1"/>
      <c r="D911" s="2"/>
      <c r="E911" s="3"/>
      <c r="G911" s="1"/>
      <c r="H911" s="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 spans="2:31" ht="14.25" hidden="1" customHeight="1" x14ac:dyDescent="0.25">
      <c r="B912" s="1"/>
      <c r="C912" s="1"/>
      <c r="D912" s="2"/>
      <c r="E912" s="3"/>
      <c r="G912" s="1"/>
      <c r="H912" s="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 spans="2:31" ht="14.25" hidden="1" customHeight="1" x14ac:dyDescent="0.25">
      <c r="B913" s="1"/>
      <c r="C913" s="1"/>
      <c r="D913" s="2"/>
      <c r="E913" s="3"/>
      <c r="G913" s="1"/>
      <c r="H913" s="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r="914" spans="2:31" ht="14.25" hidden="1" customHeight="1" x14ac:dyDescent="0.25">
      <c r="B914" s="1"/>
      <c r="C914" s="1"/>
      <c r="D914" s="2"/>
      <c r="E914" s="3"/>
      <c r="G914" s="1"/>
      <c r="H914" s="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 spans="2:31" ht="14.25" hidden="1" customHeight="1" x14ac:dyDescent="0.25">
      <c r="B915" s="1"/>
      <c r="C915" s="1"/>
      <c r="D915" s="2"/>
      <c r="E915" s="3"/>
      <c r="G915" s="1"/>
      <c r="H915" s="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 spans="2:31" ht="14.25" hidden="1" customHeight="1" x14ac:dyDescent="0.25">
      <c r="B916" s="1"/>
      <c r="C916" s="1"/>
      <c r="D916" s="2"/>
      <c r="E916" s="3"/>
      <c r="G916" s="1"/>
      <c r="H916" s="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 spans="2:31" ht="14.25" hidden="1" customHeight="1" x14ac:dyDescent="0.25">
      <c r="B917" s="1"/>
      <c r="C917" s="1"/>
      <c r="D917" s="2"/>
      <c r="E917" s="3"/>
      <c r="G917" s="1"/>
      <c r="H917" s="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 spans="2:31" ht="14.25" hidden="1" customHeight="1" x14ac:dyDescent="0.25">
      <c r="B918" s="1"/>
      <c r="C918" s="1"/>
      <c r="D918" s="2"/>
      <c r="E918" s="3"/>
      <c r="G918" s="1"/>
      <c r="H918" s="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 spans="2:31" ht="14.25" hidden="1" customHeight="1" x14ac:dyDescent="0.25">
      <c r="B919" s="1"/>
      <c r="C919" s="1"/>
      <c r="D919" s="2"/>
      <c r="E919" s="3"/>
      <c r="G919" s="1"/>
      <c r="H919" s="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 spans="2:31" ht="14.25" hidden="1" customHeight="1" x14ac:dyDescent="0.25">
      <c r="B920" s="1"/>
      <c r="C920" s="1"/>
      <c r="D920" s="2"/>
      <c r="E920" s="3"/>
      <c r="G920" s="1"/>
      <c r="H920" s="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 spans="2:31" ht="14.25" hidden="1" customHeight="1" x14ac:dyDescent="0.25">
      <c r="B921" s="1"/>
      <c r="C921" s="1"/>
      <c r="D921" s="2"/>
      <c r="E921" s="3"/>
      <c r="G921" s="1"/>
      <c r="H921" s="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 spans="2:31" ht="14.25" hidden="1" customHeight="1" x14ac:dyDescent="0.25">
      <c r="B922" s="1"/>
      <c r="C922" s="1"/>
      <c r="D922" s="2"/>
      <c r="E922" s="3"/>
      <c r="G922" s="1"/>
      <c r="H922" s="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 spans="2:31" ht="14.25" hidden="1" customHeight="1" x14ac:dyDescent="0.25">
      <c r="B923" s="1"/>
      <c r="C923" s="1"/>
      <c r="D923" s="2"/>
      <c r="E923" s="3"/>
      <c r="G923" s="1"/>
      <c r="H923" s="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 spans="2:31" ht="14.25" hidden="1" customHeight="1" x14ac:dyDescent="0.25">
      <c r="B924" s="1"/>
      <c r="C924" s="1"/>
      <c r="D924" s="2"/>
      <c r="E924" s="3"/>
      <c r="G924" s="1"/>
      <c r="H924" s="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 spans="2:31" ht="14.25" hidden="1" customHeight="1" x14ac:dyDescent="0.25">
      <c r="B925" s="1"/>
      <c r="C925" s="1"/>
      <c r="D925" s="2"/>
      <c r="E925" s="3"/>
      <c r="G925" s="1"/>
      <c r="H925" s="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 spans="2:31" ht="14.25" hidden="1" customHeight="1" x14ac:dyDescent="0.25">
      <c r="B926" s="1"/>
      <c r="C926" s="1"/>
      <c r="D926" s="2"/>
      <c r="E926" s="3"/>
      <c r="G926" s="1"/>
      <c r="H926" s="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 spans="2:31" ht="14.25" hidden="1" customHeight="1" x14ac:dyDescent="0.25">
      <c r="B927" s="1"/>
      <c r="C927" s="1"/>
      <c r="D927" s="2"/>
      <c r="E927" s="3"/>
      <c r="G927" s="1"/>
      <c r="H927" s="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 spans="2:31" ht="14.25" hidden="1" customHeight="1" x14ac:dyDescent="0.25">
      <c r="B928" s="1"/>
      <c r="C928" s="1"/>
      <c r="D928" s="2"/>
      <c r="E928" s="3"/>
      <c r="G928" s="1"/>
      <c r="H928" s="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 spans="2:31" ht="14.25" hidden="1" customHeight="1" x14ac:dyDescent="0.25">
      <c r="B929" s="1"/>
      <c r="C929" s="1"/>
      <c r="D929" s="2"/>
      <c r="E929" s="3"/>
      <c r="G929" s="1"/>
      <c r="H929" s="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 spans="2:31" ht="14.25" hidden="1" customHeight="1" x14ac:dyDescent="0.25">
      <c r="B930" s="1"/>
      <c r="C930" s="1"/>
      <c r="D930" s="2"/>
      <c r="E930" s="3"/>
      <c r="G930" s="1"/>
      <c r="H930" s="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 spans="2:31" ht="14.25" hidden="1" customHeight="1" x14ac:dyDescent="0.25">
      <c r="B931" s="1"/>
      <c r="C931" s="1"/>
      <c r="D931" s="2"/>
      <c r="E931" s="3"/>
      <c r="G931" s="1"/>
      <c r="H931" s="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 spans="2:31" ht="14.25" hidden="1" customHeight="1" x14ac:dyDescent="0.25">
      <c r="B932" s="1"/>
      <c r="C932" s="1"/>
      <c r="D932" s="2"/>
      <c r="E932" s="3"/>
      <c r="G932" s="1"/>
      <c r="H932" s="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 spans="2:31" ht="14.25" hidden="1" customHeight="1" x14ac:dyDescent="0.25">
      <c r="B933" s="1"/>
      <c r="C933" s="1"/>
      <c r="D933" s="2"/>
      <c r="E933" s="3"/>
      <c r="G933" s="1"/>
      <c r="H933" s="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 spans="2:31" ht="14.25" hidden="1" customHeight="1" x14ac:dyDescent="0.25">
      <c r="B934" s="1"/>
      <c r="C934" s="1"/>
      <c r="D934" s="2"/>
      <c r="E934" s="3"/>
      <c r="G934" s="1"/>
      <c r="H934" s="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 spans="2:31" ht="14.25" hidden="1" customHeight="1" x14ac:dyDescent="0.25">
      <c r="B935" s="1"/>
      <c r="C935" s="1"/>
      <c r="D935" s="2"/>
      <c r="E935" s="3"/>
      <c r="G935" s="1"/>
      <c r="H935" s="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 spans="2:31" ht="14.25" hidden="1" customHeight="1" x14ac:dyDescent="0.25">
      <c r="B936" s="1"/>
      <c r="C936" s="1"/>
      <c r="D936" s="2"/>
      <c r="E936" s="3"/>
      <c r="G936" s="1"/>
      <c r="H936" s="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 spans="2:31" ht="14.25" hidden="1" customHeight="1" x14ac:dyDescent="0.25">
      <c r="B937" s="1"/>
      <c r="C937" s="1"/>
      <c r="D937" s="2"/>
      <c r="E937" s="3"/>
      <c r="G937" s="1"/>
      <c r="H937" s="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 spans="2:31" ht="14.25" hidden="1" customHeight="1" x14ac:dyDescent="0.25">
      <c r="B938" s="1"/>
      <c r="C938" s="1"/>
      <c r="D938" s="2"/>
      <c r="E938" s="3"/>
      <c r="G938" s="1"/>
      <c r="H938" s="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 spans="2:31" ht="14.25" hidden="1" customHeight="1" x14ac:dyDescent="0.25">
      <c r="B939" s="1"/>
      <c r="C939" s="1"/>
      <c r="D939" s="2"/>
      <c r="E939" s="3"/>
      <c r="G939" s="1"/>
      <c r="H939" s="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 spans="2:31" ht="14.25" hidden="1" customHeight="1" x14ac:dyDescent="0.25">
      <c r="B940" s="1"/>
      <c r="C940" s="1"/>
      <c r="D940" s="2"/>
      <c r="E940" s="3"/>
      <c r="G940" s="1"/>
      <c r="H940" s="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r="941" spans="2:31" ht="14.25" hidden="1" customHeight="1" x14ac:dyDescent="0.25">
      <c r="B941" s="1"/>
      <c r="C941" s="1"/>
      <c r="D941" s="2"/>
      <c r="E941" s="3"/>
      <c r="G941" s="1"/>
      <c r="H941" s="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r="942" spans="2:31" ht="14.25" hidden="1" customHeight="1" x14ac:dyDescent="0.25">
      <c r="B942" s="1"/>
      <c r="C942" s="1"/>
      <c r="D942" s="2"/>
      <c r="E942" s="3"/>
      <c r="G942" s="1"/>
      <c r="H942" s="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r="943" spans="2:31" ht="14.25" hidden="1" customHeight="1" x14ac:dyDescent="0.25">
      <c r="B943" s="1"/>
      <c r="C943" s="1"/>
      <c r="D943" s="2"/>
      <c r="E943" s="3"/>
      <c r="G943" s="1"/>
      <c r="H943" s="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r="944" spans="2:31" ht="14.25" hidden="1" customHeight="1" x14ac:dyDescent="0.25">
      <c r="B944" s="1"/>
      <c r="C944" s="1"/>
      <c r="D944" s="2"/>
      <c r="E944" s="3"/>
      <c r="G944" s="1"/>
      <c r="H944" s="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r="945" spans="2:31" ht="14.25" hidden="1" customHeight="1" x14ac:dyDescent="0.25">
      <c r="B945" s="1"/>
      <c r="C945" s="1"/>
      <c r="D945" s="2"/>
      <c r="E945" s="3"/>
      <c r="G945" s="1"/>
      <c r="H945" s="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r="946" spans="2:31" ht="14.25" hidden="1" customHeight="1" x14ac:dyDescent="0.25">
      <c r="B946" s="1"/>
      <c r="C946" s="1"/>
      <c r="D946" s="2"/>
      <c r="E946" s="3"/>
      <c r="G946" s="1"/>
      <c r="H946" s="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r="947" spans="2:31" ht="14.25" hidden="1" customHeight="1" x14ac:dyDescent="0.25">
      <c r="B947" s="1"/>
      <c r="C947" s="1"/>
      <c r="D947" s="2"/>
      <c r="E947" s="3"/>
      <c r="G947" s="1"/>
      <c r="H947" s="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r="948" spans="2:31" ht="14.25" hidden="1" customHeight="1" x14ac:dyDescent="0.25">
      <c r="B948" s="1"/>
      <c r="C948" s="1"/>
      <c r="D948" s="2"/>
      <c r="E948" s="3"/>
      <c r="G948" s="1"/>
      <c r="H948" s="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r="949" spans="2:31" ht="14.25" hidden="1" customHeight="1" x14ac:dyDescent="0.25">
      <c r="B949" s="1"/>
      <c r="C949" s="1"/>
      <c r="D949" s="2"/>
      <c r="E949" s="3"/>
      <c r="G949" s="1"/>
      <c r="H949" s="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r="950" spans="2:31" ht="14.25" hidden="1" customHeight="1" x14ac:dyDescent="0.25">
      <c r="B950" s="1"/>
      <c r="C950" s="1"/>
      <c r="D950" s="2"/>
      <c r="E950" s="3"/>
      <c r="G950" s="1"/>
      <c r="H950" s="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r="951" spans="2:31" ht="14.25" hidden="1" customHeight="1" x14ac:dyDescent="0.25">
      <c r="B951" s="1"/>
      <c r="C951" s="1"/>
      <c r="D951" s="2"/>
      <c r="E951" s="3"/>
      <c r="G951" s="1"/>
      <c r="H951" s="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r="952" spans="2:31" ht="14.25" hidden="1" customHeight="1" x14ac:dyDescent="0.25">
      <c r="B952" s="1"/>
      <c r="C952" s="1"/>
      <c r="D952" s="2"/>
      <c r="E952" s="3"/>
      <c r="G952" s="1"/>
      <c r="H952" s="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r="953" spans="2:31" ht="14.25" hidden="1" customHeight="1" x14ac:dyDescent="0.25">
      <c r="B953" s="1"/>
      <c r="C953" s="1"/>
      <c r="D953" s="2"/>
      <c r="E953" s="3"/>
      <c r="G953" s="1"/>
      <c r="H953" s="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r="954" spans="2:31" ht="14.25" hidden="1" customHeight="1" x14ac:dyDescent="0.25">
      <c r="B954" s="1"/>
      <c r="C954" s="1"/>
      <c r="D954" s="2"/>
      <c r="E954" s="3"/>
      <c r="G954" s="1"/>
      <c r="H954" s="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r="955" spans="2:31" ht="14.25" hidden="1" customHeight="1" x14ac:dyDescent="0.25">
      <c r="B955" s="1"/>
      <c r="C955" s="1"/>
      <c r="D955" s="2"/>
      <c r="E955" s="3"/>
      <c r="G955" s="1"/>
      <c r="H955" s="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r="956" spans="2:31" ht="14.25" hidden="1" customHeight="1" x14ac:dyDescent="0.25">
      <c r="B956" s="1"/>
      <c r="C956" s="1"/>
      <c r="D956" s="2"/>
      <c r="E956" s="3"/>
      <c r="G956" s="1"/>
      <c r="H956" s="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r="957" spans="2:31" ht="14.25" hidden="1" customHeight="1" x14ac:dyDescent="0.25">
      <c r="B957" s="1"/>
      <c r="C957" s="1"/>
      <c r="D957" s="2"/>
      <c r="E957" s="3"/>
      <c r="G957" s="1"/>
      <c r="H957" s="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r="958" spans="2:31" ht="14.25" hidden="1" customHeight="1" x14ac:dyDescent="0.25">
      <c r="B958" s="1"/>
      <c r="C958" s="1"/>
      <c r="D958" s="2"/>
      <c r="E958" s="3"/>
      <c r="G958" s="1"/>
      <c r="H958" s="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r="959" spans="2:31" ht="14.25" hidden="1" customHeight="1" x14ac:dyDescent="0.25">
      <c r="B959" s="1"/>
      <c r="C959" s="1"/>
      <c r="D959" s="2"/>
      <c r="E959" s="3"/>
      <c r="G959" s="1"/>
      <c r="H959" s="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r="960" spans="2:31" ht="14.25" hidden="1" customHeight="1" x14ac:dyDescent="0.25">
      <c r="B960" s="1"/>
      <c r="C960" s="1"/>
      <c r="D960" s="2"/>
      <c r="E960" s="3"/>
      <c r="G960" s="1"/>
      <c r="H960" s="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r="961" spans="2:31" ht="14.25" hidden="1" customHeight="1" x14ac:dyDescent="0.25">
      <c r="B961" s="1"/>
      <c r="C961" s="1"/>
      <c r="D961" s="2"/>
      <c r="E961" s="3"/>
      <c r="G961" s="1"/>
      <c r="H961" s="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r="962" spans="2:31" ht="14.25" hidden="1" customHeight="1" x14ac:dyDescent="0.25">
      <c r="B962" s="1"/>
      <c r="C962" s="1"/>
      <c r="D962" s="2"/>
      <c r="E962" s="3"/>
      <c r="G962" s="1"/>
      <c r="H962" s="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r="963" spans="2:31" ht="14.25" hidden="1" customHeight="1" x14ac:dyDescent="0.25">
      <c r="B963" s="1"/>
      <c r="C963" s="1"/>
      <c r="D963" s="2"/>
      <c r="E963" s="3"/>
      <c r="G963" s="1"/>
      <c r="H963" s="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r="964" spans="2:31" ht="14.25" hidden="1" customHeight="1" x14ac:dyDescent="0.25">
      <c r="B964" s="1"/>
      <c r="C964" s="1"/>
      <c r="D964" s="2"/>
      <c r="E964" s="3"/>
      <c r="G964" s="1"/>
      <c r="H964" s="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r="965" spans="2:31" ht="14.25" hidden="1" customHeight="1" x14ac:dyDescent="0.25">
      <c r="B965" s="1"/>
      <c r="C965" s="1"/>
      <c r="D965" s="2"/>
      <c r="E965" s="3"/>
      <c r="G965" s="1"/>
      <c r="H965" s="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r="966" spans="2:31" ht="14.25" hidden="1" customHeight="1" x14ac:dyDescent="0.25">
      <c r="B966" s="1"/>
      <c r="C966" s="1"/>
      <c r="D966" s="2"/>
      <c r="E966" s="3"/>
      <c r="G966" s="1"/>
      <c r="H966" s="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r="967" spans="2:31" ht="14.25" hidden="1" customHeight="1" x14ac:dyDescent="0.25">
      <c r="B967" s="1"/>
      <c r="C967" s="1"/>
      <c r="D967" s="2"/>
      <c r="E967" s="3"/>
      <c r="G967" s="1"/>
      <c r="H967" s="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r="968" spans="2:31" ht="14.25" hidden="1" customHeight="1" x14ac:dyDescent="0.25">
      <c r="B968" s="1"/>
      <c r="C968" s="1"/>
      <c r="D968" s="2"/>
      <c r="E968" s="3"/>
      <c r="G968" s="1"/>
      <c r="H968" s="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r="969" spans="2:31" ht="14.25" hidden="1" customHeight="1" x14ac:dyDescent="0.25">
      <c r="B969" s="1"/>
      <c r="C969" s="1"/>
      <c r="D969" s="2"/>
      <c r="E969" s="3"/>
      <c r="G969" s="1"/>
      <c r="H969" s="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r="970" spans="2:31" ht="14.25" hidden="1" customHeight="1" x14ac:dyDescent="0.25">
      <c r="B970" s="1"/>
      <c r="C970" s="1"/>
      <c r="D970" s="2"/>
      <c r="E970" s="3"/>
      <c r="G970" s="1"/>
      <c r="H970" s="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r="971" spans="2:31" ht="14.25" hidden="1" customHeight="1" x14ac:dyDescent="0.25">
      <c r="B971" s="1"/>
      <c r="C971" s="1"/>
      <c r="D971" s="2"/>
      <c r="E971" s="3"/>
      <c r="G971" s="1"/>
      <c r="H971" s="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r="972" spans="2:31" ht="14.25" hidden="1" customHeight="1" x14ac:dyDescent="0.25">
      <c r="B972" s="1"/>
      <c r="C972" s="1"/>
      <c r="D972" s="2"/>
      <c r="E972" s="3"/>
      <c r="G972" s="1"/>
      <c r="H972" s="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r="973" spans="2:31" ht="14.25" hidden="1" customHeight="1" x14ac:dyDescent="0.25">
      <c r="B973" s="1"/>
      <c r="C973" s="1"/>
      <c r="D973" s="2"/>
      <c r="E973" s="3"/>
      <c r="G973" s="1"/>
      <c r="H973" s="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r="974" spans="2:31" ht="14.25" hidden="1" customHeight="1" x14ac:dyDescent="0.25">
      <c r="B974" s="1"/>
      <c r="C974" s="1"/>
      <c r="D974" s="2"/>
      <c r="E974" s="3"/>
      <c r="G974" s="1"/>
      <c r="H974" s="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r="975" spans="2:31" ht="14.25" hidden="1" customHeight="1" x14ac:dyDescent="0.25">
      <c r="B975" s="1"/>
      <c r="C975" s="1"/>
      <c r="D975" s="2"/>
      <c r="E975" s="3"/>
      <c r="G975" s="1"/>
      <c r="H975" s="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r="976" spans="2:31" ht="14.25" hidden="1" customHeight="1" x14ac:dyDescent="0.25">
      <c r="B976" s="1"/>
      <c r="C976" s="1"/>
      <c r="D976" s="2"/>
      <c r="E976" s="3"/>
      <c r="G976" s="1"/>
      <c r="H976" s="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r="977" spans="2:31" ht="14.25" hidden="1" customHeight="1" x14ac:dyDescent="0.25">
      <c r="B977" s="1"/>
      <c r="C977" s="1"/>
      <c r="D977" s="2"/>
      <c r="E977" s="3"/>
      <c r="G977" s="1"/>
      <c r="H977" s="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r="978" spans="2:31" ht="14.25" hidden="1" customHeight="1" x14ac:dyDescent="0.25">
      <c r="B978" s="1"/>
      <c r="C978" s="1"/>
      <c r="D978" s="2"/>
      <c r="E978" s="3"/>
      <c r="G978" s="1"/>
      <c r="H978" s="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r="979" spans="2:31" ht="14.25" hidden="1" customHeight="1" x14ac:dyDescent="0.25">
      <c r="B979" s="1"/>
      <c r="C979" s="1"/>
      <c r="D979" s="2"/>
      <c r="E979" s="3"/>
      <c r="G979" s="1"/>
      <c r="H979" s="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r="980" spans="2:31" ht="14.25" hidden="1" customHeight="1" x14ac:dyDescent="0.25">
      <c r="B980" s="1"/>
      <c r="C980" s="1"/>
      <c r="D980" s="2"/>
      <c r="E980" s="3"/>
      <c r="G980" s="1"/>
      <c r="H980" s="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r="981" spans="2:31" ht="14.25" hidden="1" customHeight="1" x14ac:dyDescent="0.25">
      <c r="B981" s="1"/>
      <c r="C981" s="1"/>
      <c r="D981" s="2"/>
      <c r="E981" s="3"/>
      <c r="G981" s="1"/>
      <c r="H981" s="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r="982" spans="2:31" ht="14.25" hidden="1" customHeight="1" x14ac:dyDescent="0.25">
      <c r="B982" s="1"/>
      <c r="C982" s="1"/>
      <c r="D982" s="2"/>
      <c r="E982" s="3"/>
      <c r="G982" s="1"/>
      <c r="H982" s="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r="983" spans="2:31" ht="14.25" hidden="1" customHeight="1" x14ac:dyDescent="0.25">
      <c r="B983" s="1"/>
      <c r="C983" s="1"/>
      <c r="D983" s="2"/>
      <c r="E983" s="3"/>
      <c r="G983" s="1"/>
      <c r="H983" s="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r="984" spans="2:31" ht="14.25" hidden="1" customHeight="1" x14ac:dyDescent="0.25">
      <c r="B984" s="1"/>
      <c r="C984" s="1"/>
      <c r="D984" s="2"/>
      <c r="E984" s="3"/>
      <c r="G984" s="1"/>
      <c r="H984" s="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r="985" spans="2:31" ht="14.25" hidden="1" customHeight="1" x14ac:dyDescent="0.25">
      <c r="B985" s="1"/>
      <c r="C985" s="1"/>
      <c r="D985" s="2"/>
      <c r="E985" s="3"/>
      <c r="G985" s="1"/>
      <c r="H985" s="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r="986" spans="2:31" ht="14.25" hidden="1" customHeight="1" x14ac:dyDescent="0.25">
      <c r="B986" s="1"/>
      <c r="C986" s="1"/>
      <c r="D986" s="2"/>
      <c r="E986" s="3"/>
      <c r="G986" s="1"/>
      <c r="H986" s="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r="987" spans="2:31" ht="14.25" hidden="1" customHeight="1" x14ac:dyDescent="0.25">
      <c r="B987" s="1"/>
      <c r="C987" s="1"/>
      <c r="D987" s="2"/>
      <c r="E987" s="3"/>
      <c r="G987" s="1"/>
      <c r="H987" s="4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  <row r="988" spans="2:31" ht="14.25" hidden="1" customHeight="1" x14ac:dyDescent="0.25">
      <c r="B988" s="1"/>
      <c r="C988" s="1"/>
      <c r="D988" s="2"/>
      <c r="E988" s="3"/>
      <c r="G988" s="1"/>
      <c r="H988" s="4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</row>
    <row r="989" spans="2:31" ht="14.25" hidden="1" customHeight="1" x14ac:dyDescent="0.25">
      <c r="B989" s="1"/>
      <c r="C989" s="1"/>
      <c r="D989" s="2"/>
      <c r="E989" s="3"/>
      <c r="G989" s="1"/>
      <c r="H989" s="4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</row>
    <row r="990" spans="2:31" ht="14.25" hidden="1" customHeight="1" x14ac:dyDescent="0.25">
      <c r="B990" s="1"/>
      <c r="C990" s="1"/>
      <c r="D990" s="2"/>
      <c r="E990" s="3"/>
      <c r="G990" s="1"/>
      <c r="H990" s="4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</row>
    <row r="991" spans="2:31" ht="14.25" hidden="1" customHeight="1" x14ac:dyDescent="0.25">
      <c r="B991" s="1"/>
      <c r="C991" s="1"/>
      <c r="D991" s="2"/>
      <c r="E991" s="3"/>
      <c r="G991" s="1"/>
      <c r="H991" s="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</row>
    <row r="992" spans="2:31" ht="14.25" hidden="1" customHeight="1" x14ac:dyDescent="0.25">
      <c r="B992" s="1"/>
      <c r="C992" s="1"/>
      <c r="D992" s="2"/>
      <c r="E992" s="3"/>
      <c r="G992" s="1"/>
      <c r="H992" s="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</row>
    <row r="993" spans="2:31" ht="14.25" hidden="1" customHeight="1" x14ac:dyDescent="0.25">
      <c r="B993" s="1"/>
      <c r="C993" s="1"/>
      <c r="D993" s="2"/>
      <c r="E993" s="3"/>
      <c r="G993" s="1"/>
      <c r="H993" s="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</row>
    <row r="994" spans="2:31" ht="14.25" hidden="1" customHeight="1" x14ac:dyDescent="0.25">
      <c r="B994" s="1"/>
      <c r="C994" s="1"/>
      <c r="D994" s="2"/>
      <c r="E994" s="3"/>
      <c r="G994" s="1"/>
      <c r="H994" s="4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</row>
    <row r="995" spans="2:31" ht="14.25" hidden="1" customHeight="1" x14ac:dyDescent="0.25">
      <c r="B995" s="1"/>
      <c r="C995" s="1"/>
      <c r="D995" s="2"/>
      <c r="E995" s="3"/>
      <c r="G995" s="1"/>
      <c r="H995" s="4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</row>
    <row r="996" spans="2:31" ht="14.25" hidden="1" customHeight="1" x14ac:dyDescent="0.25">
      <c r="B996" s="1"/>
      <c r="C996" s="1"/>
      <c r="D996" s="2"/>
      <c r="E996" s="3"/>
      <c r="G996" s="1"/>
      <c r="H996" s="4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</row>
    <row r="997" spans="2:31" ht="14.25" hidden="1" customHeight="1" x14ac:dyDescent="0.25">
      <c r="B997" s="1"/>
      <c r="C997" s="1"/>
      <c r="D997" s="2"/>
      <c r="E997" s="3"/>
      <c r="G997" s="1"/>
      <c r="H997" s="4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</row>
    <row r="998" spans="2:31" ht="14.25" hidden="1" customHeight="1" x14ac:dyDescent="0.25">
      <c r="B998" s="1"/>
      <c r="C998" s="1"/>
      <c r="D998" s="2"/>
      <c r="E998" s="3"/>
      <c r="G998" s="1"/>
      <c r="H998" s="4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</row>
    <row r="999" spans="2:31" ht="14.25" hidden="1" customHeight="1" x14ac:dyDescent="0.25">
      <c r="B999" s="1"/>
      <c r="C999" s="1"/>
      <c r="D999" s="2"/>
      <c r="E999" s="3"/>
      <c r="G999" s="1"/>
      <c r="H999" s="4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</row>
    <row r="1000" spans="2:31" ht="14.25" hidden="1" customHeight="1" x14ac:dyDescent="0.25">
      <c r="B1000" s="1"/>
      <c r="C1000" s="1"/>
      <c r="D1000" s="2"/>
      <c r="E1000" s="3"/>
      <c r="G1000" s="1"/>
      <c r="H1000" s="4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</row>
  </sheetData>
  <mergeCells count="12">
    <mergeCell ref="A8:A9"/>
    <mergeCell ref="E8:E9"/>
    <mergeCell ref="F8:F9"/>
    <mergeCell ref="G8:G9"/>
    <mergeCell ref="H8:H9"/>
    <mergeCell ref="I8:AD8"/>
    <mergeCell ref="A1:AD2"/>
    <mergeCell ref="B8:D9"/>
    <mergeCell ref="A61:D61"/>
    <mergeCell ref="A62:H62"/>
    <mergeCell ref="A63:H63"/>
    <mergeCell ref="A64:H64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C1CCB9-9A1B-453D-AE26-B7D12EEDC02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KRISTINE</dc:creator>
  <cp:lastModifiedBy>Julius Carlo Franco</cp:lastModifiedBy>
  <dcterms:created xsi:type="dcterms:W3CDTF">2020-07-31T09:30:12Z</dcterms:created>
  <dcterms:modified xsi:type="dcterms:W3CDTF">2026-04-10T08:23:39Z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{0CC1CCB9-9A1B-453D-AE26-B7D12EEDC02B}</vt:lpwstr>
  </property>
</Properties>
</file>
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lof\Downloads\"/>
    </mc:Choice>
  </mc:AlternateContent>
  <xr:revisionPtr revIDLastSave="0" documentId="13_ncr:1_{E880479D-A2C1-46D5-BB42-C95E98D8F85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ENERAL SCHED INternal DCI" sheetId="1" r:id="rId1"/>
  </sheets>
  <externalReferences>
    <externalReference r:id="rId2"/>
  </externalReferences>
  <definedNames>
    <definedName name="boq_left" localSheetId="0">#REF!</definedName>
    <definedName name="boq_left">#REF!</definedName>
    <definedName name="boq_right" localSheetId="0">#REF!</definedName>
    <definedName name="boq_right">#REF!</definedName>
    <definedName name="RB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uwKeReOemKE0yRg/fL3yR5V3Wls84FRDNDx6QBHg/Gw="/>
    </ext>
  </extLst>
</workbook>
</file>

<file path=xl/calcChain.xml><?xml version="1.0" encoding="utf-8"?>
<calcChain xmlns="http://schemas.openxmlformats.org/spreadsheetml/2006/main">
  <c r="BF184" i="1" l="1"/>
  <c r="BF190" i="1" s="1"/>
  <c r="BG190" i="1" s="1"/>
  <c r="BH190" i="1" s="1"/>
  <c r="BI190" i="1" s="1"/>
  <c r="BJ190" i="1" s="1"/>
  <c r="BK190" i="1" s="1"/>
  <c r="BL190" i="1" s="1"/>
  <c r="BM190" i="1" s="1"/>
  <c r="BN190" i="1" s="1"/>
  <c r="BO190" i="1" s="1"/>
  <c r="BP190" i="1" s="1"/>
  <c r="BQ190" i="1" s="1"/>
  <c r="BR190" i="1" s="1"/>
  <c r="BS190" i="1" s="1"/>
  <c r="BT190" i="1" s="1"/>
  <c r="BU190" i="1" s="1"/>
  <c r="BV190" i="1" s="1"/>
  <c r="BW190" i="1" s="1"/>
  <c r="BX190" i="1" s="1"/>
  <c r="BY190" i="1" s="1"/>
  <c r="BZ190" i="1" s="1"/>
  <c r="CA190" i="1" s="1"/>
  <c r="CB190" i="1" s="1"/>
  <c r="CC190" i="1" s="1"/>
  <c r="CD190" i="1" s="1"/>
  <c r="CE190" i="1" s="1"/>
  <c r="CF190" i="1" s="1"/>
  <c r="CG190" i="1" s="1"/>
  <c r="CH190" i="1" s="1"/>
  <c r="CI190" i="1" s="1"/>
  <c r="CJ190" i="1" s="1"/>
  <c r="CK190" i="1" s="1"/>
  <c r="CL190" i="1" s="1"/>
  <c r="CM190" i="1" s="1"/>
  <c r="CN190" i="1" s="1"/>
  <c r="CO190" i="1" s="1"/>
  <c r="CP190" i="1" s="1"/>
  <c r="CQ190" i="1" s="1"/>
  <c r="CR190" i="1" s="1"/>
  <c r="BC184" i="1"/>
  <c r="M183" i="1"/>
  <c r="M181" i="1"/>
  <c r="M180" i="1"/>
  <c r="N180" i="1" s="1"/>
  <c r="O180" i="1" s="1"/>
  <c r="AT180" i="1" s="1"/>
  <c r="AU180" i="1" s="1"/>
  <c r="AV180" i="1" s="1"/>
  <c r="AW180" i="1" s="1"/>
  <c r="AX180" i="1" s="1"/>
  <c r="M179" i="1"/>
  <c r="M177" i="1"/>
  <c r="M176" i="1"/>
  <c r="N176" i="1" s="1"/>
  <c r="O176" i="1" s="1"/>
  <c r="AE176" i="1" s="1"/>
  <c r="AF176" i="1" s="1"/>
  <c r="AG176" i="1" s="1"/>
  <c r="AH176" i="1" s="1"/>
  <c r="AI176" i="1" s="1"/>
  <c r="AJ176" i="1" s="1"/>
  <c r="AK176" i="1" s="1"/>
  <c r="AL176" i="1" s="1"/>
  <c r="AM176" i="1" s="1"/>
  <c r="AN176" i="1" s="1"/>
  <c r="AO176" i="1" s="1"/>
  <c r="AP176" i="1" s="1"/>
  <c r="AQ176" i="1" s="1"/>
  <c r="AR176" i="1" s="1"/>
  <c r="AS176" i="1" s="1"/>
  <c r="AT176" i="1" s="1"/>
  <c r="AU176" i="1" s="1"/>
  <c r="AV176" i="1" s="1"/>
  <c r="AW176" i="1" s="1"/>
  <c r="AX176" i="1" s="1"/>
  <c r="AY176" i="1" s="1"/>
  <c r="AZ176" i="1" s="1"/>
  <c r="M175" i="1"/>
  <c r="M173" i="1"/>
  <c r="M171" i="1"/>
  <c r="M170" i="1"/>
  <c r="N170" i="1" s="1"/>
  <c r="O170" i="1" s="1"/>
  <c r="Z170" i="1" s="1"/>
  <c r="AA170" i="1" s="1"/>
  <c r="AB170" i="1" s="1"/>
  <c r="AC170" i="1" s="1"/>
  <c r="AD170" i="1" s="1"/>
  <c r="AE170" i="1" s="1"/>
  <c r="AF170" i="1" s="1"/>
  <c r="AG170" i="1" s="1"/>
  <c r="AH170" i="1" s="1"/>
  <c r="AI170" i="1" s="1"/>
  <c r="AJ170" i="1" s="1"/>
  <c r="AK170" i="1" s="1"/>
  <c r="AL170" i="1" s="1"/>
  <c r="AM170" i="1" s="1"/>
  <c r="AN170" i="1" s="1"/>
  <c r="AO170" i="1" s="1"/>
  <c r="M169" i="1"/>
  <c r="M167" i="1"/>
  <c r="M166" i="1"/>
  <c r="N166" i="1" s="1"/>
  <c r="O166" i="1" s="1"/>
  <c r="AK166" i="1" s="1"/>
  <c r="AL166" i="1" s="1"/>
  <c r="AM166" i="1" s="1"/>
  <c r="AN166" i="1" s="1"/>
  <c r="AO166" i="1" s="1"/>
  <c r="AP166" i="1" s="1"/>
  <c r="AQ166" i="1" s="1"/>
  <c r="AR166" i="1" s="1"/>
  <c r="AS166" i="1" s="1"/>
  <c r="AT166" i="1" s="1"/>
  <c r="AU166" i="1" s="1"/>
  <c r="AV166" i="1" s="1"/>
  <c r="AW166" i="1" s="1"/>
  <c r="AX166" i="1" s="1"/>
  <c r="AY166" i="1" s="1"/>
  <c r="M165" i="1"/>
  <c r="M164" i="1"/>
  <c r="N164" i="1" s="1"/>
  <c r="O164" i="1" s="1"/>
  <c r="AT164" i="1" s="1"/>
  <c r="AU164" i="1" s="1"/>
  <c r="AV164" i="1" s="1"/>
  <c r="AW164" i="1" s="1"/>
  <c r="AX164" i="1" s="1"/>
  <c r="AY164" i="1" s="1"/>
  <c r="AZ164" i="1" s="1"/>
  <c r="BA164" i="1" s="1"/>
  <c r="M163" i="1"/>
  <c r="N162" i="1"/>
  <c r="O162" i="1" s="1"/>
  <c r="X162" i="1" s="1"/>
  <c r="Y162" i="1" s="1"/>
  <c r="Z162" i="1" s="1"/>
  <c r="AA162" i="1" s="1"/>
  <c r="AB162" i="1" s="1"/>
  <c r="AC162" i="1" s="1"/>
  <c r="AD162" i="1" s="1"/>
  <c r="AE162" i="1" s="1"/>
  <c r="AF162" i="1" s="1"/>
  <c r="AG162" i="1" s="1"/>
  <c r="AH162" i="1" s="1"/>
  <c r="AI162" i="1" s="1"/>
  <c r="AJ162" i="1" s="1"/>
  <c r="AK162" i="1" s="1"/>
  <c r="AL162" i="1" s="1"/>
  <c r="AM162" i="1" s="1"/>
  <c r="AN162" i="1" s="1"/>
  <c r="AO162" i="1" s="1"/>
  <c r="AP162" i="1" s="1"/>
  <c r="AQ162" i="1" s="1"/>
  <c r="AR162" i="1" s="1"/>
  <c r="AS162" i="1" s="1"/>
  <c r="M162" i="1"/>
  <c r="M161" i="1"/>
  <c r="M160" i="1"/>
  <c r="N160" i="1" s="1"/>
  <c r="O160" i="1" s="1"/>
  <c r="X160" i="1" s="1"/>
  <c r="Y160" i="1" s="1"/>
  <c r="Z160" i="1" s="1"/>
  <c r="AA160" i="1" s="1"/>
  <c r="AB160" i="1" s="1"/>
  <c r="AC160" i="1" s="1"/>
  <c r="AD160" i="1" s="1"/>
  <c r="AE160" i="1" s="1"/>
  <c r="AF160" i="1" s="1"/>
  <c r="AG160" i="1" s="1"/>
  <c r="AH160" i="1" s="1"/>
  <c r="AI160" i="1" s="1"/>
  <c r="AJ160" i="1" s="1"/>
  <c r="AK160" i="1" s="1"/>
  <c r="AL160" i="1" s="1"/>
  <c r="AM160" i="1" s="1"/>
  <c r="AN160" i="1" s="1"/>
  <c r="AO160" i="1" s="1"/>
  <c r="AP160" i="1" s="1"/>
  <c r="AQ160" i="1" s="1"/>
  <c r="AR160" i="1" s="1"/>
  <c r="AS160" i="1" s="1"/>
  <c r="AT160" i="1" s="1"/>
  <c r="AU160" i="1" s="1"/>
  <c r="AV160" i="1" s="1"/>
  <c r="AW160" i="1" s="1"/>
  <c r="AX160" i="1" s="1"/>
  <c r="M159" i="1"/>
  <c r="M157" i="1"/>
  <c r="M156" i="1"/>
  <c r="N156" i="1" s="1"/>
  <c r="O156" i="1" s="1"/>
  <c r="AH156" i="1" s="1"/>
  <c r="AI156" i="1" s="1"/>
  <c r="AJ156" i="1" s="1"/>
  <c r="AK156" i="1" s="1"/>
  <c r="AL156" i="1" s="1"/>
  <c r="AM156" i="1" s="1"/>
  <c r="AN156" i="1" s="1"/>
  <c r="AO156" i="1" s="1"/>
  <c r="AP156" i="1" s="1"/>
  <c r="AQ156" i="1" s="1"/>
  <c r="AR156" i="1" s="1"/>
  <c r="AS156" i="1" s="1"/>
  <c r="M155" i="1"/>
  <c r="M153" i="1"/>
  <c r="M151" i="1"/>
  <c r="M150" i="1"/>
  <c r="M149" i="1"/>
  <c r="M147" i="1"/>
  <c r="M146" i="1"/>
  <c r="N146" i="1" s="1"/>
  <c r="O146" i="1" s="1"/>
  <c r="AR146" i="1" s="1"/>
  <c r="AS146" i="1" s="1"/>
  <c r="AT146" i="1" s="1"/>
  <c r="AU146" i="1" s="1"/>
  <c r="M145" i="1"/>
  <c r="M144" i="1"/>
  <c r="N144" i="1" s="1"/>
  <c r="O144" i="1" s="1"/>
  <c r="AP144" i="1" s="1"/>
  <c r="AQ144" i="1" s="1"/>
  <c r="AR144" i="1" s="1"/>
  <c r="AS144" i="1" s="1"/>
  <c r="AT144" i="1" s="1"/>
  <c r="AU144" i="1" s="1"/>
  <c r="M143" i="1"/>
  <c r="M142" i="1"/>
  <c r="M141" i="1"/>
  <c r="M139" i="1"/>
  <c r="M138" i="1"/>
  <c r="N138" i="1" s="1"/>
  <c r="O138" i="1" s="1"/>
  <c r="AO138" i="1" s="1"/>
  <c r="AP138" i="1" s="1"/>
  <c r="AQ138" i="1" s="1"/>
  <c r="AR138" i="1" s="1"/>
  <c r="AS138" i="1" s="1"/>
  <c r="AT138" i="1" s="1"/>
  <c r="AU138" i="1" s="1"/>
  <c r="AV138" i="1" s="1"/>
  <c r="AW138" i="1" s="1"/>
  <c r="AX138" i="1" s="1"/>
  <c r="AY138" i="1" s="1"/>
  <c r="AZ138" i="1" s="1"/>
  <c r="M137" i="1"/>
  <c r="M136" i="1"/>
  <c r="N136" i="1" s="1"/>
  <c r="O136" i="1" s="1"/>
  <c r="AK136" i="1" s="1"/>
  <c r="AL136" i="1" s="1"/>
  <c r="AM136" i="1" s="1"/>
  <c r="AN136" i="1" s="1"/>
  <c r="AO136" i="1" s="1"/>
  <c r="AP136" i="1" s="1"/>
  <c r="AQ136" i="1" s="1"/>
  <c r="AR136" i="1" s="1"/>
  <c r="AS136" i="1" s="1"/>
  <c r="AT136" i="1" s="1"/>
  <c r="AU136" i="1" s="1"/>
  <c r="AV136" i="1" s="1"/>
  <c r="AW136" i="1" s="1"/>
  <c r="AX136" i="1" s="1"/>
  <c r="AY136" i="1" s="1"/>
  <c r="M135" i="1"/>
  <c r="M134" i="1"/>
  <c r="M133" i="1"/>
  <c r="M132" i="1"/>
  <c r="N132" i="1" s="1"/>
  <c r="O132" i="1" s="1"/>
  <c r="AO132" i="1" s="1"/>
  <c r="AP132" i="1" s="1"/>
  <c r="AQ132" i="1" s="1"/>
  <c r="AR132" i="1" s="1"/>
  <c r="AS132" i="1" s="1"/>
  <c r="AT132" i="1" s="1"/>
  <c r="AU132" i="1" s="1"/>
  <c r="AV132" i="1" s="1"/>
  <c r="AW132" i="1" s="1"/>
  <c r="AX132" i="1" s="1"/>
  <c r="AY132" i="1" s="1"/>
  <c r="M131" i="1"/>
  <c r="M130" i="1"/>
  <c r="N130" i="1" s="1"/>
  <c r="O130" i="1" s="1"/>
  <c r="AU130" i="1" s="1"/>
  <c r="AV130" i="1" s="1"/>
  <c r="AW130" i="1" s="1"/>
  <c r="AX130" i="1" s="1"/>
  <c r="AY130" i="1" s="1"/>
  <c r="AZ130" i="1" s="1"/>
  <c r="M129" i="1"/>
  <c r="M128" i="1"/>
  <c r="N128" i="1" s="1"/>
  <c r="O128" i="1" s="1"/>
  <c r="AS128" i="1" s="1"/>
  <c r="AT128" i="1" s="1"/>
  <c r="AU128" i="1" s="1"/>
  <c r="AV128" i="1" s="1"/>
  <c r="AW128" i="1" s="1"/>
  <c r="AX128" i="1" s="1"/>
  <c r="AY128" i="1" s="1"/>
  <c r="M127" i="1"/>
  <c r="M126" i="1"/>
  <c r="N126" i="1" s="1"/>
  <c r="O126" i="1" s="1"/>
  <c r="AO126" i="1" s="1"/>
  <c r="AP126" i="1" s="1"/>
  <c r="AQ126" i="1" s="1"/>
  <c r="AR126" i="1" s="1"/>
  <c r="AS126" i="1" s="1"/>
  <c r="AT126" i="1" s="1"/>
  <c r="AU126" i="1" s="1"/>
  <c r="AV126" i="1" s="1"/>
  <c r="AW126" i="1" s="1"/>
  <c r="AX126" i="1" s="1"/>
  <c r="AY126" i="1" s="1"/>
  <c r="AZ126" i="1" s="1"/>
  <c r="M125" i="1"/>
  <c r="M124" i="1"/>
  <c r="M123" i="1"/>
  <c r="M122" i="1"/>
  <c r="N122" i="1" s="1"/>
  <c r="O122" i="1" s="1"/>
  <c r="AO122" i="1" s="1"/>
  <c r="AP122" i="1" s="1"/>
  <c r="AQ122" i="1" s="1"/>
  <c r="AR122" i="1" s="1"/>
  <c r="AS122" i="1" s="1"/>
  <c r="AT122" i="1" s="1"/>
  <c r="AU122" i="1" s="1"/>
  <c r="AV122" i="1" s="1"/>
  <c r="AW122" i="1" s="1"/>
  <c r="AX122" i="1" s="1"/>
  <c r="AY122" i="1" s="1"/>
  <c r="M121" i="1"/>
  <c r="M119" i="1"/>
  <c r="M118" i="1"/>
  <c r="M117" i="1"/>
  <c r="M115" i="1"/>
  <c r="M114" i="1"/>
  <c r="N114" i="1" s="1"/>
  <c r="O114" i="1" s="1"/>
  <c r="AF114" i="1" s="1"/>
  <c r="AG114" i="1" s="1"/>
  <c r="AH114" i="1" s="1"/>
  <c r="AI114" i="1" s="1"/>
  <c r="AJ114" i="1" s="1"/>
  <c r="AK114" i="1" s="1"/>
  <c r="AL114" i="1" s="1"/>
  <c r="AM114" i="1" s="1"/>
  <c r="AN114" i="1" s="1"/>
  <c r="AO114" i="1" s="1"/>
  <c r="AP114" i="1" s="1"/>
  <c r="AQ114" i="1" s="1"/>
  <c r="M113" i="1"/>
  <c r="M112" i="1"/>
  <c r="N112" i="1" s="1"/>
  <c r="O112" i="1" s="1"/>
  <c r="AF112" i="1" s="1"/>
  <c r="AG112" i="1" s="1"/>
  <c r="AH112" i="1" s="1"/>
  <c r="AI112" i="1" s="1"/>
  <c r="AJ112" i="1" s="1"/>
  <c r="AK112" i="1" s="1"/>
  <c r="AL112" i="1" s="1"/>
  <c r="AM112" i="1" s="1"/>
  <c r="AN112" i="1" s="1"/>
  <c r="AO112" i="1" s="1"/>
  <c r="AP112" i="1" s="1"/>
  <c r="AQ112" i="1" s="1"/>
  <c r="AR112" i="1" s="1"/>
  <c r="AS112" i="1" s="1"/>
  <c r="M111" i="1"/>
  <c r="M110" i="1"/>
  <c r="N110" i="1" s="1"/>
  <c r="O110" i="1" s="1"/>
  <c r="AD110" i="1" s="1"/>
  <c r="AE110" i="1" s="1"/>
  <c r="AF110" i="1" s="1"/>
  <c r="AG110" i="1" s="1"/>
  <c r="AH110" i="1" s="1"/>
  <c r="AI110" i="1" s="1"/>
  <c r="AJ110" i="1" s="1"/>
  <c r="AK110" i="1" s="1"/>
  <c r="AL110" i="1" s="1"/>
  <c r="AM110" i="1" s="1"/>
  <c r="AN110" i="1" s="1"/>
  <c r="AO110" i="1" s="1"/>
  <c r="AP110" i="1" s="1"/>
  <c r="AQ110" i="1" s="1"/>
  <c r="M109" i="1"/>
  <c r="M107" i="1"/>
  <c r="L106" i="1"/>
  <c r="M105" i="1"/>
  <c r="M103" i="1"/>
  <c r="N102" i="1"/>
  <c r="O102" i="1" s="1"/>
  <c r="AN102" i="1" s="1"/>
  <c r="AO102" i="1" s="1"/>
  <c r="AP102" i="1" s="1"/>
  <c r="M102" i="1"/>
  <c r="M101" i="1"/>
  <c r="M99" i="1"/>
  <c r="M97" i="1"/>
  <c r="M95" i="1"/>
  <c r="N94" i="1"/>
  <c r="O94" i="1" s="1"/>
  <c r="AB94" i="1" s="1"/>
  <c r="AC94" i="1" s="1"/>
  <c r="AD94" i="1" s="1"/>
  <c r="AE94" i="1" s="1"/>
  <c r="AF94" i="1" s="1"/>
  <c r="AG94" i="1" s="1"/>
  <c r="AH94" i="1" s="1"/>
  <c r="AI94" i="1" s="1"/>
  <c r="AJ94" i="1" s="1"/>
  <c r="AK94" i="1" s="1"/>
  <c r="AL94" i="1" s="1"/>
  <c r="AM94" i="1" s="1"/>
  <c r="M94" i="1"/>
  <c r="M93" i="1"/>
  <c r="M92" i="1"/>
  <c r="N92" i="1" s="1"/>
  <c r="O92" i="1" s="1"/>
  <c r="AH92" i="1" s="1"/>
  <c r="AI92" i="1" s="1"/>
  <c r="AJ92" i="1" s="1"/>
  <c r="AK92" i="1" s="1"/>
  <c r="AL92" i="1" s="1"/>
  <c r="M91" i="1"/>
  <c r="M90" i="1"/>
  <c r="N90" i="1" s="1"/>
  <c r="O90" i="1" s="1"/>
  <c r="AO90" i="1" s="1"/>
  <c r="M89" i="1"/>
  <c r="M88" i="1"/>
  <c r="N88" i="1" s="1"/>
  <c r="O88" i="1" s="1"/>
  <c r="M87" i="1"/>
  <c r="M85" i="1"/>
  <c r="M84" i="1"/>
  <c r="N84" i="1"/>
  <c r="O84" i="1" s="1"/>
  <c r="AK84" i="1" s="1"/>
  <c r="M83" i="1"/>
  <c r="M82" i="1"/>
  <c r="N82" i="1"/>
  <c r="O82" i="1" s="1"/>
  <c r="AI82" i="1" s="1"/>
  <c r="AJ82" i="1" s="1"/>
  <c r="M81" i="1"/>
  <c r="M59" i="1"/>
  <c r="N58" i="1"/>
  <c r="O58" i="1" s="1"/>
  <c r="AG58" i="1" s="1"/>
  <c r="M58" i="1"/>
  <c r="M57" i="1"/>
  <c r="M56" i="1"/>
  <c r="N56" i="1" s="1"/>
  <c r="O56" i="1" s="1"/>
  <c r="AE56" i="1" s="1"/>
  <c r="AF56" i="1" s="1"/>
  <c r="M55" i="1"/>
  <c r="M53" i="1"/>
  <c r="M51" i="1"/>
  <c r="M50" i="1"/>
  <c r="N50" i="1" s="1"/>
  <c r="O50" i="1" s="1"/>
  <c r="M49" i="1"/>
  <c r="M48" i="1"/>
  <c r="N48" i="1" s="1"/>
  <c r="O48" i="1" s="1"/>
  <c r="M47" i="1"/>
  <c r="M45" i="1"/>
  <c r="M43" i="1"/>
  <c r="M42" i="1"/>
  <c r="N42" i="1" s="1"/>
  <c r="O42" i="1" s="1"/>
  <c r="T42" i="1" s="1"/>
  <c r="U42" i="1" s="1"/>
  <c r="V42" i="1" s="1"/>
  <c r="W42" i="1" s="1"/>
  <c r="X42" i="1" s="1"/>
  <c r="Y42" i="1" s="1"/>
  <c r="Z42" i="1" s="1"/>
  <c r="AA42" i="1" s="1"/>
  <c r="AB42" i="1" s="1"/>
  <c r="M41" i="1"/>
  <c r="M40" i="1"/>
  <c r="N40" i="1" s="1"/>
  <c r="O40" i="1" s="1"/>
  <c r="V40" i="1" s="1"/>
  <c r="W40" i="1" s="1"/>
  <c r="X40" i="1" s="1"/>
  <c r="Y40" i="1" s="1"/>
  <c r="Z40" i="1" s="1"/>
  <c r="AA40" i="1" s="1"/>
  <c r="M39" i="1"/>
  <c r="M37" i="1"/>
  <c r="M36" i="1"/>
  <c r="N36" i="1" s="1"/>
  <c r="O36" i="1" s="1"/>
  <c r="M35" i="1"/>
  <c r="M33" i="1"/>
  <c r="M32" i="1"/>
  <c r="N32" i="1" s="1"/>
  <c r="O32" i="1" s="1"/>
  <c r="M31" i="1"/>
  <c r="M30" i="1"/>
  <c r="N30" i="1" s="1"/>
  <c r="O30" i="1" s="1"/>
  <c r="R30" i="1" s="1"/>
  <c r="M29" i="1"/>
  <c r="M27" i="1"/>
  <c r="M26" i="1"/>
  <c r="N26" i="1" s="1"/>
  <c r="O26" i="1" s="1"/>
  <c r="T26" i="1" s="1"/>
  <c r="U26" i="1" s="1"/>
  <c r="V26" i="1" s="1"/>
  <c r="W26" i="1" s="1"/>
  <c r="X26" i="1" s="1"/>
  <c r="M25" i="1"/>
  <c r="M24" i="1"/>
  <c r="N24" i="1" s="1"/>
  <c r="O24" i="1" s="1"/>
  <c r="P24" i="1" s="1"/>
  <c r="Q24" i="1" s="1"/>
  <c r="R24" i="1" s="1"/>
  <c r="M23" i="1"/>
  <c r="M22" i="1"/>
  <c r="N22" i="1" s="1"/>
  <c r="O22" i="1" s="1"/>
  <c r="M21" i="1"/>
  <c r="AC42" i="1" l="1"/>
  <c r="X50" i="1"/>
  <c r="Y50" i="1" s="1"/>
  <c r="Z50" i="1" s="1"/>
  <c r="AA50" i="1" s="1"/>
  <c r="AB50" i="1"/>
  <c r="N106" i="1"/>
  <c r="O106" i="1" s="1"/>
  <c r="AL106" i="1" s="1"/>
  <c r="AM106" i="1" s="1"/>
  <c r="AN106" i="1" s="1"/>
  <c r="AO106" i="1" s="1"/>
  <c r="AP106" i="1" s="1"/>
  <c r="AQ106" i="1" s="1"/>
  <c r="AR106" i="1" s="1"/>
  <c r="AS106" i="1" s="1"/>
  <c r="M80" i="1"/>
  <c r="N80" i="1" s="1"/>
  <c r="O80" i="1" s="1"/>
  <c r="AH80" i="1" s="1"/>
  <c r="N104" i="1"/>
  <c r="O104" i="1" s="1"/>
  <c r="AL104" i="1" s="1"/>
  <c r="AM104" i="1" s="1"/>
  <c r="AN104" i="1" s="1"/>
  <c r="AO104" i="1" s="1"/>
  <c r="M96" i="1"/>
  <c r="N96" i="1" s="1"/>
  <c r="O96" i="1" s="1"/>
  <c r="AQ102" i="1"/>
  <c r="R36" i="1"/>
  <c r="T36" i="1" s="1"/>
  <c r="V36" i="1" s="1"/>
  <c r="X36" i="1" s="1"/>
  <c r="U36" i="1"/>
  <c r="W36" i="1" s="1"/>
  <c r="Y36" i="1" s="1"/>
  <c r="T24" i="1"/>
  <c r="R32" i="1"/>
  <c r="T32" i="1"/>
  <c r="X48" i="1"/>
  <c r="Y48" i="1" s="1"/>
  <c r="Z48" i="1" s="1"/>
  <c r="AA48" i="1" s="1"/>
  <c r="W48" i="1"/>
  <c r="M52" i="1"/>
  <c r="N52" i="1" s="1"/>
  <c r="O52" i="1" s="1"/>
  <c r="AB52" i="1" s="1"/>
  <c r="AC52" i="1" s="1"/>
  <c r="BA22" i="1"/>
  <c r="BB22" i="1"/>
  <c r="BB184" i="1" s="1"/>
  <c r="Q22" i="1"/>
  <c r="AN88" i="1"/>
  <c r="AM88" i="1"/>
  <c r="M54" i="1"/>
  <c r="N54" i="1" s="1"/>
  <c r="O54" i="1" s="1"/>
  <c r="AC54" i="1" s="1"/>
  <c r="AD54" i="1" s="1"/>
  <c r="J44" i="1"/>
  <c r="M86" i="1"/>
  <c r="N86" i="1" s="1"/>
  <c r="O86" i="1" s="1"/>
  <c r="AL86" i="1" s="1"/>
  <c r="M104" i="1"/>
  <c r="M106" i="1"/>
  <c r="M120" i="1"/>
  <c r="N120" i="1" s="1"/>
  <c r="O120" i="1" s="1"/>
  <c r="AO120" i="1" s="1"/>
  <c r="AP120" i="1" s="1"/>
  <c r="AQ120" i="1" s="1"/>
  <c r="AR120" i="1" s="1"/>
  <c r="AS120" i="1" s="1"/>
  <c r="AT120" i="1" s="1"/>
  <c r="M140" i="1"/>
  <c r="N140" i="1" s="1"/>
  <c r="O140" i="1" s="1"/>
  <c r="AT140" i="1" s="1"/>
  <c r="AU140" i="1" s="1"/>
  <c r="AV140" i="1" s="1"/>
  <c r="AW140" i="1" s="1"/>
  <c r="AX140" i="1" s="1"/>
  <c r="AY140" i="1" s="1"/>
  <c r="AZ140" i="1" s="1"/>
  <c r="M172" i="1"/>
  <c r="N172" i="1" s="1"/>
  <c r="O172" i="1" s="1"/>
  <c r="AB172" i="1" s="1"/>
  <c r="AC172" i="1" s="1"/>
  <c r="AD172" i="1" s="1"/>
  <c r="AE172" i="1" s="1"/>
  <c r="AF172" i="1" s="1"/>
  <c r="AG172" i="1" s="1"/>
  <c r="AH172" i="1" s="1"/>
  <c r="AI172" i="1" s="1"/>
  <c r="AJ172" i="1" s="1"/>
  <c r="AK172" i="1" s="1"/>
  <c r="M38" i="1"/>
  <c r="N38" i="1" s="1"/>
  <c r="O38" i="1" s="1"/>
  <c r="M46" i="1"/>
  <c r="N46" i="1" s="1"/>
  <c r="O46" i="1" s="1"/>
  <c r="M98" i="1"/>
  <c r="N98" i="1" s="1"/>
  <c r="O98" i="1" s="1"/>
  <c r="X98" i="1" s="1"/>
  <c r="Y98" i="1" s="1"/>
  <c r="Z98" i="1" s="1"/>
  <c r="AA98" i="1" s="1"/>
  <c r="AB98" i="1" s="1"/>
  <c r="AC98" i="1" s="1"/>
  <c r="L184" i="1"/>
  <c r="M174" i="1"/>
  <c r="N174" i="1" s="1"/>
  <c r="O174" i="1" s="1"/>
  <c r="AB174" i="1" s="1"/>
  <c r="AC174" i="1" s="1"/>
  <c r="AD174" i="1" s="1"/>
  <c r="AE174" i="1" s="1"/>
  <c r="AF174" i="1" s="1"/>
  <c r="AG174" i="1" s="1"/>
  <c r="AH174" i="1" s="1"/>
  <c r="AI174" i="1" s="1"/>
  <c r="AJ174" i="1" s="1"/>
  <c r="AK174" i="1" s="1"/>
  <c r="AL174" i="1" s="1"/>
  <c r="AM174" i="1" s="1"/>
  <c r="AN174" i="1" s="1"/>
  <c r="AO174" i="1" s="1"/>
  <c r="AP174" i="1" s="1"/>
  <c r="AQ174" i="1" s="1"/>
  <c r="AR174" i="1" s="1"/>
  <c r="AS174" i="1" s="1"/>
  <c r="AT174" i="1" s="1"/>
  <c r="AU174" i="1" s="1"/>
  <c r="AV174" i="1" s="1"/>
  <c r="AW174" i="1" s="1"/>
  <c r="AX174" i="1" s="1"/>
  <c r="AY174" i="1" s="1"/>
  <c r="AZ174" i="1" s="1"/>
  <c r="M20" i="1"/>
  <c r="M152" i="1"/>
  <c r="N152" i="1" s="1"/>
  <c r="O152" i="1" s="1"/>
  <c r="AO152" i="1" s="1"/>
  <c r="AP152" i="1" s="1"/>
  <c r="AQ152" i="1" s="1"/>
  <c r="AR152" i="1" s="1"/>
  <c r="AS152" i="1" s="1"/>
  <c r="AT152" i="1" s="1"/>
  <c r="AU152" i="1" s="1"/>
  <c r="AV152" i="1" s="1"/>
  <c r="AW152" i="1" s="1"/>
  <c r="AX152" i="1" s="1"/>
  <c r="AY152" i="1" s="1"/>
  <c r="M178" i="1"/>
  <c r="N178" i="1" s="1"/>
  <c r="O178" i="1" s="1"/>
  <c r="AT178" i="1" s="1"/>
  <c r="AU178" i="1" s="1"/>
  <c r="AV178" i="1" s="1"/>
  <c r="AW178" i="1" s="1"/>
  <c r="AX178" i="1" s="1"/>
  <c r="AY178" i="1" s="1"/>
  <c r="AZ178" i="1" s="1"/>
  <c r="BA178" i="1" s="1"/>
  <c r="N150" i="1"/>
  <c r="O150" i="1" s="1"/>
  <c r="AK150" i="1" s="1"/>
  <c r="AL150" i="1" s="1"/>
  <c r="AM150" i="1" s="1"/>
  <c r="AN150" i="1" s="1"/>
  <c r="AO150" i="1" s="1"/>
  <c r="AP150" i="1" s="1"/>
  <c r="AQ150" i="1" s="1"/>
  <c r="AR150" i="1" s="1"/>
  <c r="AS150" i="1" s="1"/>
  <c r="AT150" i="1" s="1"/>
  <c r="AU150" i="1" s="1"/>
  <c r="AV150" i="1" s="1"/>
  <c r="AW150" i="1" s="1"/>
  <c r="M184" i="1" l="1"/>
  <c r="AL172" i="1"/>
  <c r="AM172" i="1" s="1"/>
  <c r="AN172" i="1" s="1"/>
  <c r="AO172" i="1" s="1"/>
  <c r="AP172" i="1" s="1"/>
  <c r="AQ172" i="1" s="1"/>
  <c r="AR172" i="1" s="1"/>
  <c r="AS172" i="1" s="1"/>
  <c r="AK184" i="1"/>
  <c r="AO184" i="1"/>
  <c r="AL184" i="1"/>
  <c r="AM86" i="1"/>
  <c r="AM184" i="1" s="1"/>
  <c r="R46" i="1"/>
  <c r="R184" i="1" s="1"/>
  <c r="T46" i="1"/>
  <c r="U46" i="1" s="1"/>
  <c r="V46" i="1" s="1"/>
  <c r="W46" i="1" s="1"/>
  <c r="X46" i="1" s="1"/>
  <c r="AT184" i="1"/>
  <c r="AU120" i="1"/>
  <c r="AE54" i="1"/>
  <c r="X96" i="1"/>
  <c r="Y96" i="1"/>
  <c r="Z96" i="1" s="1"/>
  <c r="AA96" i="1" s="1"/>
  <c r="AB96" i="1" s="1"/>
  <c r="AC96" i="1" s="1"/>
  <c r="AD96" i="1" s="1"/>
  <c r="AE96" i="1" s="1"/>
  <c r="AF96" i="1" s="1"/>
  <c r="AG96" i="1" s="1"/>
  <c r="T184" i="1"/>
  <c r="U24" i="1"/>
  <c r="AH184" i="1"/>
  <c r="AI80" i="1"/>
  <c r="N20" i="1"/>
  <c r="T38" i="1"/>
  <c r="AE38" i="1"/>
  <c r="AQ184" i="1"/>
  <c r="AR102" i="1"/>
  <c r="AN184" i="1"/>
  <c r="AP184" i="1"/>
  <c r="AD184" i="1" l="1"/>
  <c r="AB184" i="1"/>
  <c r="AC184" i="1"/>
  <c r="AR184" i="1"/>
  <c r="AO190" i="1" s="1"/>
  <c r="AS102" i="1"/>
  <c r="AS184" i="1" s="1"/>
  <c r="AE184" i="1"/>
  <c r="AF38" i="1"/>
  <c r="V38" i="1"/>
  <c r="U38" i="1"/>
  <c r="W38" i="1" s="1"/>
  <c r="N184" i="1"/>
  <c r="O20" i="1"/>
  <c r="AU184" i="1"/>
  <c r="AV120" i="1"/>
  <c r="AK190" i="1"/>
  <c r="AI184" i="1"/>
  <c r="AJ80" i="1"/>
  <c r="AJ184" i="1" s="1"/>
  <c r="U184" i="1"/>
  <c r="V24" i="1"/>
  <c r="AK191" i="1" l="1"/>
  <c r="AW120" i="1"/>
  <c r="AV184" i="1"/>
  <c r="AF184" i="1"/>
  <c r="AB190" i="1" s="1"/>
  <c r="AG38" i="1"/>
  <c r="AG184" i="1" s="1"/>
  <c r="AG190" i="1" s="1"/>
  <c r="O184" i="1"/>
  <c r="AZ20" i="1"/>
  <c r="P20" i="1"/>
  <c r="AO191" i="1"/>
  <c r="V184" i="1"/>
  <c r="W24" i="1"/>
  <c r="AB191" i="1" l="1"/>
  <c r="AG191" i="1"/>
  <c r="W184" i="1"/>
  <c r="X24" i="1"/>
  <c r="AW184" i="1"/>
  <c r="AS190" i="1" s="1"/>
  <c r="AX120" i="1"/>
  <c r="P184" i="1"/>
  <c r="Q20" i="1"/>
  <c r="Q184" i="1" s="1"/>
  <c r="AZ184" i="1"/>
  <c r="BA20" i="1"/>
  <c r="BA184" i="1" s="1"/>
  <c r="AS191" i="1" l="1"/>
  <c r="X184" i="1"/>
  <c r="Y24" i="1"/>
  <c r="P189" i="1"/>
  <c r="Q189" i="1" s="1"/>
  <c r="R189" i="1" s="1"/>
  <c r="T189" i="1" s="1"/>
  <c r="U189" i="1" s="1"/>
  <c r="V189" i="1" s="1"/>
  <c r="W189" i="1" s="1"/>
  <c r="S190" i="1"/>
  <c r="AX184" i="1"/>
  <c r="AY120" i="1"/>
  <c r="AY184" i="1" s="1"/>
  <c r="AX190" i="1" l="1"/>
  <c r="S192" i="1"/>
  <c r="S191" i="1"/>
  <c r="X189" i="1"/>
  <c r="Y184" i="1"/>
  <c r="Z24" i="1"/>
  <c r="Z184" i="1" l="1"/>
  <c r="AA24" i="1"/>
  <c r="AA184" i="1" s="1"/>
  <c r="S193" i="1"/>
  <c r="Y189" i="1"/>
  <c r="AX191" i="1"/>
  <c r="Z189" i="1" l="1"/>
  <c r="AA189" i="1"/>
  <c r="AB189" i="1" s="1"/>
  <c r="AC189" i="1" s="1"/>
  <c r="AD189" i="1" s="1"/>
  <c r="AE189" i="1" s="1"/>
  <c r="AF189" i="1" s="1"/>
  <c r="AG189" i="1" s="1"/>
  <c r="AH189" i="1" s="1"/>
  <c r="AI189" i="1" s="1"/>
  <c r="AJ189" i="1" s="1"/>
  <c r="AK189" i="1" s="1"/>
  <c r="AL189" i="1" s="1"/>
  <c r="AM189" i="1" s="1"/>
  <c r="AN189" i="1" s="1"/>
  <c r="AO189" i="1" s="1"/>
  <c r="AP189" i="1" s="1"/>
  <c r="AQ189" i="1" s="1"/>
  <c r="AR189" i="1" s="1"/>
  <c r="AS189" i="1" s="1"/>
  <c r="AT189" i="1" s="1"/>
  <c r="AU189" i="1" s="1"/>
  <c r="AV189" i="1" s="1"/>
  <c r="AW189" i="1" s="1"/>
  <c r="AX189" i="1" s="1"/>
  <c r="AY189" i="1" s="1"/>
  <c r="AZ189" i="1" s="1"/>
  <c r="BA189" i="1" s="1"/>
  <c r="BB189" i="1" s="1"/>
  <c r="BC189" i="1" s="1"/>
  <c r="X190" i="1"/>
  <c r="X191" i="1" s="1"/>
  <c r="X192" i="1" l="1"/>
  <c r="X193" i="1" s="1"/>
  <c r="AB192" i="1"/>
  <c r="AB193" i="1" l="1"/>
  <c r="AG192" i="1"/>
  <c r="AG193" i="1" l="1"/>
  <c r="AK192" i="1"/>
  <c r="AK193" i="1" l="1"/>
  <c r="AO192" i="1"/>
  <c r="AO193" i="1" l="1"/>
  <c r="AS192" i="1"/>
  <c r="AS193" i="1" l="1"/>
  <c r="AX192" i="1"/>
  <c r="AX193" i="1" s="1"/>
  <c r="M68" i="1" l="1"/>
  <c r="N68" i="1" s="1"/>
  <c r="M62" i="1"/>
  <c r="N62" i="1" s="1"/>
  <c r="M63" i="1"/>
  <c r="N63" i="1" s="1"/>
  <c r="M74" i="1"/>
  <c r="N74" i="1" s="1"/>
  <c r="M79" i="1"/>
  <c r="N79" i="1" s="1"/>
  <c r="M75" i="1"/>
  <c r="N75" i="1" s="1"/>
  <c r="M66" i="1"/>
  <c r="N66" i="1" s="1"/>
  <c r="M61" i="1"/>
  <c r="N61" i="1" s="1"/>
  <c r="M71" i="1"/>
  <c r="N71" i="1" s="1"/>
  <c r="M69" i="1"/>
  <c r="N69" i="1" s="1"/>
  <c r="M67" i="1"/>
  <c r="N67" i="1" s="1"/>
  <c r="M72" i="1"/>
  <c r="N72" i="1" s="1"/>
  <c r="M76" i="1"/>
  <c r="N76" i="1" s="1"/>
  <c r="M60" i="1"/>
  <c r="N60" i="1" s="1"/>
  <c r="M73" i="1"/>
  <c r="N73" i="1" s="1"/>
  <c r="M78" i="1"/>
  <c r="N78" i="1" s="1"/>
  <c r="M65" i="1"/>
  <c r="N65" i="1" s="1"/>
  <c r="M64" i="1"/>
  <c r="N64" i="1" s="1"/>
  <c r="M77" i="1"/>
  <c r="N77" i="1" s="1"/>
  <c r="M70" i="1"/>
  <c r="N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6" authorId="0" shapeId="0" xr:uid="{00000000-0006-0000-0000-000002000000}">
      <text>
        <r>
          <rPr>
            <sz val="10"/>
            <color rgb="FF000000"/>
            <rFont val="Times New Roman"/>
            <scheme val="minor"/>
          </rPr>
          <t>======
ID#AAAB3IwjVn8
Architect    (2026-04-10 08:05:42)
Item 1.5, 1.9</t>
        </r>
      </text>
    </comment>
    <comment ref="L40" authorId="0" shapeId="0" xr:uid="{00000000-0006-0000-0000-000001000000}">
      <text>
        <r>
          <rPr>
            <sz val="10"/>
            <color rgb="FF000000"/>
            <rFont val="Times New Roman"/>
            <scheme val="minor"/>
          </rPr>
          <t>======
ID#AAAB3IwjVn4
Architect    (2026-04-10 08:05:42)
Items 3.4-3.6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SDHvBDBwioUzN0WIMow+o1sYYzQ=="/>
    </ext>
  </extLst>
</comments>
</file>

<file path=xl/sharedStrings.xml><?xml version="1.0" encoding="utf-8"?>
<sst xmlns="http://schemas.openxmlformats.org/spreadsheetml/2006/main" count="191" uniqueCount="152">
  <si>
    <t>PROJECT</t>
  </si>
  <si>
    <t>:</t>
  </si>
  <si>
    <t>LOCATION</t>
  </si>
  <si>
    <t>OWNER</t>
  </si>
  <si>
    <t>GENERAL CONSTRUCTION SCHEDULE</t>
  </si>
  <si>
    <t>MONTH - 1</t>
  </si>
  <si>
    <t>MONTH - 2</t>
  </si>
  <si>
    <t>MONTH - 3</t>
  </si>
  <si>
    <t>MONTH - 4</t>
  </si>
  <si>
    <t>MONTH - 5</t>
  </si>
  <si>
    <t>MONTH - 6</t>
  </si>
  <si>
    <t>MONTH - 7</t>
  </si>
  <si>
    <t>MONTH - 8</t>
  </si>
  <si>
    <t>ITEMS</t>
  </si>
  <si>
    <t>DESCRIPTION</t>
  </si>
  <si>
    <t>DATE</t>
  </si>
  <si>
    <t>QUANTITY</t>
  </si>
  <si>
    <t>UNIT</t>
  </si>
  <si>
    <t>AMOUNT</t>
  </si>
  <si>
    <t>Mark-up</t>
  </si>
  <si>
    <t>&amp; Wt</t>
  </si>
  <si>
    <t>4~10</t>
  </si>
  <si>
    <t>11~17</t>
  </si>
  <si>
    <t>18~24</t>
  </si>
  <si>
    <t>25~31</t>
  </si>
  <si>
    <t>1~7</t>
  </si>
  <si>
    <t>8~14</t>
  </si>
  <si>
    <t>15~21</t>
  </si>
  <si>
    <t>22~28</t>
  </si>
  <si>
    <t>29~5</t>
  </si>
  <si>
    <t>6~12</t>
  </si>
  <si>
    <t>13~19</t>
  </si>
  <si>
    <t>20~26</t>
  </si>
  <si>
    <t>27~2</t>
  </si>
  <si>
    <t>3~9</t>
  </si>
  <si>
    <t>10~16</t>
  </si>
  <si>
    <t>17~23</t>
  </si>
  <si>
    <t>24~30</t>
  </si>
  <si>
    <t>31~6</t>
  </si>
  <si>
    <t>7~13</t>
  </si>
  <si>
    <t>14~20</t>
  </si>
  <si>
    <t>21~27</t>
  </si>
  <si>
    <t>28~6</t>
  </si>
  <si>
    <t>28~3</t>
  </si>
  <si>
    <t>25~1</t>
  </si>
  <si>
    <t>2~8</t>
  </si>
  <si>
    <t>9~15</t>
  </si>
  <si>
    <t>16~22</t>
  </si>
  <si>
    <t>23~29</t>
  </si>
  <si>
    <t>30~5</t>
  </si>
  <si>
    <t>20~27</t>
  </si>
  <si>
    <t>GENERAL REQUIREMENTS</t>
  </si>
  <si>
    <t>PERMITS, BONDS AND INSURANCES</t>
  </si>
  <si>
    <t>Lot</t>
  </si>
  <si>
    <t>MOBILIZATION / DEMOBILIZATION</t>
  </si>
  <si>
    <t>DESIGN AND ENGINEERING</t>
  </si>
  <si>
    <t>TEMPORARY WORKS / FACILITIES</t>
  </si>
  <si>
    <t>SITE WORKS</t>
  </si>
  <si>
    <t>CLEARING / DEMOLITION WORKS</t>
  </si>
  <si>
    <t>HAULING / DISPOSAL</t>
  </si>
  <si>
    <t>EARTHWORKS</t>
  </si>
  <si>
    <t>FOUNDATION EXCAVATION WORKS</t>
  </si>
  <si>
    <t>cu.m.</t>
  </si>
  <si>
    <t>GRAVEL BEDDING</t>
  </si>
  <si>
    <t>BACKFILLING</t>
  </si>
  <si>
    <t>HAILING-OUT/ DISPOSAL OF EXCESS MATERIALS</t>
  </si>
  <si>
    <t>STRUCTURAL WORKS</t>
  </si>
  <si>
    <t>FOUNDATION/ FTB / WALL FOOTING</t>
  </si>
  <si>
    <t>COLUMNS / PEDESTAL (GF)</t>
  </si>
  <si>
    <t>BEAMS AND GIRDERS (2ND FLOOR)</t>
  </si>
  <si>
    <t>SUSPENDED SLAB (2ND FLOOR)</t>
  </si>
  <si>
    <t>COLUMNS / PEDESTAL (2ND FLOOR)</t>
  </si>
  <si>
    <t>BEAMS AND GIRDERS (3RD FLOOR)</t>
  </si>
  <si>
    <t>SUSPENDED SLAB (3RD FLOOR)</t>
  </si>
  <si>
    <t>COLUMNS / PEDESTAL (3RD FLOOR)</t>
  </si>
  <si>
    <t>BEAMS AND GIRDERS (UPPER 3RD FLOOR)</t>
  </si>
  <si>
    <t>SUSPENDED SLAB (UPPER 3RD FLOOR)</t>
  </si>
  <si>
    <t>COLUMNS / PEDESTAL (UPPER 3RD FLOOR)</t>
  </si>
  <si>
    <t>BEAMS, GIRDER, PARAPET WALL (ROOF DECK)</t>
  </si>
  <si>
    <t>SUSPENDED SLAB (ROOF DECK)</t>
  </si>
  <si>
    <t>SLAB-ON-GRADE</t>
  </si>
  <si>
    <t>STAIR CASE / RAMP</t>
  </si>
  <si>
    <t>DOMESTIC WATER TANK</t>
  </si>
  <si>
    <t>SEPTIC TANK</t>
  </si>
  <si>
    <t>STRUCTURAL STEEL WORKS</t>
  </si>
  <si>
    <t>MAIN ROOF TRUSSES</t>
  </si>
  <si>
    <t>LOWER ROOF TRUSS</t>
  </si>
  <si>
    <t>METAL WORKS</t>
  </si>
  <si>
    <t>L.M.</t>
  </si>
  <si>
    <t>MASONRY WORKS</t>
  </si>
  <si>
    <t>CHB LAYING</t>
  </si>
  <si>
    <t>sq.m.</t>
  </si>
  <si>
    <t>PLASTERING WORKS</t>
  </si>
  <si>
    <t>LINTEL BEAMS</t>
  </si>
  <si>
    <t>l.m.</t>
  </si>
  <si>
    <t>ARCHITECTURAL WORKS</t>
  </si>
  <si>
    <t>FLOOR FINISHING WORKS</t>
  </si>
  <si>
    <t>TILE WORKS</t>
  </si>
  <si>
    <t>TROWELLED CONCRETE WORKS</t>
  </si>
  <si>
    <t>WALL FINISHING WORKS</t>
  </si>
  <si>
    <t>PAINTING WORKS</t>
  </si>
  <si>
    <t>COMPOSITE ALUMINUM CLADDING</t>
  </si>
  <si>
    <t>ACCOUSTIC WALL CLADDING</t>
  </si>
  <si>
    <t>WALL TILES</t>
  </si>
  <si>
    <t>CEILING WORKS</t>
  </si>
  <si>
    <t>EXPOSED SLAB &amp; BEAMS (PAINTED FIN)</t>
  </si>
  <si>
    <t>FICEM BOARD CEILING</t>
  </si>
  <si>
    <t>ACOUSTIC BOARD CEILING</t>
  </si>
  <si>
    <t>ROOFING WORKS</t>
  </si>
  <si>
    <t>LOWER ROOF</t>
  </si>
  <si>
    <t>MAIN ROOF</t>
  </si>
  <si>
    <t>DOORS &amp; WINDOWS</t>
  </si>
  <si>
    <t>WROUGHT IRON DOORS AND JAMBS</t>
  </si>
  <si>
    <t>ALUMINUM WORKS</t>
  </si>
  <si>
    <t>MISCELLANEOUS</t>
  </si>
  <si>
    <t>WATERPROOFING WORKS</t>
  </si>
  <si>
    <t>ELECTRICAL WORKS</t>
  </si>
  <si>
    <t>POWER (MATL'S &amp; ROUGHING-INS)</t>
  </si>
  <si>
    <t>LIGHTING  (MATL'S &amp; ROUGHING-INS)</t>
  </si>
  <si>
    <t>WIRING DEVICES / ELECTRICAL FIXTURES</t>
  </si>
  <si>
    <t>TELEPHONE/AUXILLIARY SYSTEM</t>
  </si>
  <si>
    <t>PLUMBING WORKS</t>
  </si>
  <si>
    <t>STORM DRAINAGE SYSTEM</t>
  </si>
  <si>
    <t xml:space="preserve">SANITARY PIPELINE </t>
  </si>
  <si>
    <t>COLD WATERLINE</t>
  </si>
  <si>
    <t>FIRE PROTECTION PIPE LINE</t>
  </si>
  <si>
    <t>SANITARY FIXTURES</t>
  </si>
  <si>
    <t>PUMPS AND TANKS</t>
  </si>
  <si>
    <t>DEMOBILIZATION</t>
  </si>
  <si>
    <t xml:space="preserve">PROJECTED  ACCOMPLISHMENT </t>
  </si>
  <si>
    <t xml:space="preserve">       Semi-Monthly Accomplishment (%)</t>
  </si>
  <si>
    <t xml:space="preserve">      Cummulative Semi-Monthly Accomplishment (%)</t>
  </si>
  <si>
    <t>PROJECTED MONTHLY ACCOMPLISHMENT (%)</t>
  </si>
  <si>
    <t>Amount Php</t>
  </si>
  <si>
    <t>Actual Monthly Accomplishment (%)</t>
  </si>
  <si>
    <t xml:space="preserve">      Cummulative Monthly Accomplishment (%)</t>
  </si>
  <si>
    <t>NTP Date:</t>
  </si>
  <si>
    <t>Date</t>
  </si>
  <si>
    <t>Description</t>
  </si>
  <si>
    <t>Rev</t>
  </si>
  <si>
    <t>Prepared by</t>
  </si>
  <si>
    <t>Checked by</t>
  </si>
  <si>
    <t>Approved by</t>
  </si>
  <si>
    <t>REMARKS</t>
  </si>
  <si>
    <t>Start Date:</t>
  </si>
  <si>
    <t>CONTRACT SCHEDULE</t>
  </si>
  <si>
    <t>DCI</t>
  </si>
  <si>
    <t>ELS</t>
  </si>
  <si>
    <t>DLA</t>
  </si>
  <si>
    <t>Finish Date:</t>
  </si>
  <si>
    <t>Run Date:</t>
  </si>
  <si>
    <t>Page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</si>
</sst>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00%"/>
    <numFmt numFmtId="165" formatCode="mmm\-yyyy"/>
    <numFmt numFmtId="166" formatCode="mmm\-[$-409]d\-yy"/>
    <numFmt numFmtId="167" formatCode="[$-3409]dd\-mmm\-yy"/>
    <numFmt numFmtId="168" formatCode="m/d/yy"/>
    <numFmt numFmtId="169" formatCode="_(* #,##0_);_(* \(#,##0\);_(* &quot;-&quot;??_);_(@_)"/>
    <numFmt numFmtId="170" formatCode="mmm\-\-[$-3409]dd\-\-yyyy"/>
    <numFmt numFmtId="171" formatCode="[$-409]d\-mmm\-yy"/>
    <numFmt numFmtId="172" formatCode="_(* #,##0.0000_);_(* \(#,##0.0000\);_(* &quot;-&quot;??_);_(@_)"/>
  </numFmts>
  <fonts count="39" x14ac:knownFonts="1">
    <font>
      <sz val="10"/>
      <color rgb="FF000000"/>
      <name val="Times New Roman"/>
      <scheme val="minor"/>
    </font>
    <font>
      <sz val="10"/>
      <color theme="1"/>
      <name val="Arial"/>
    </font>
    <font>
      <sz val="8"/>
      <color theme="1"/>
      <name val="Arial"/>
    </font>
    <font>
      <b/>
      <sz val="11"/>
      <color theme="1"/>
      <name val="Calibri"/>
    </font>
    <font>
      <sz val="10"/>
      <color theme="1"/>
      <name val="Times New Roman"/>
    </font>
    <font>
      <b/>
      <sz val="14"/>
      <color rgb="FF0000FF"/>
      <name val="Calibri"/>
    </font>
    <font>
      <b/>
      <sz val="26"/>
      <color theme="1"/>
      <name val="Arial"/>
    </font>
    <font>
      <b/>
      <sz val="10"/>
      <color theme="1"/>
      <name val="Arial"/>
    </font>
    <font>
      <sz val="10"/>
      <name val="Times New Roman"/>
    </font>
    <font>
      <sz val="9"/>
      <color theme="1"/>
      <name val="Arial"/>
    </font>
    <font>
      <i/>
      <sz val="8"/>
      <color theme="1"/>
      <name val="Arial"/>
    </font>
    <font>
      <sz val="10"/>
      <color rgb="FFFFFFFF"/>
      <name val="Arial"/>
    </font>
    <font>
      <i/>
      <sz val="5"/>
      <color theme="1"/>
      <name val="Arial"/>
    </font>
    <font>
      <sz val="6"/>
      <color theme="1"/>
      <name val="Arial"/>
    </font>
    <font>
      <sz val="5"/>
      <color theme="1"/>
      <name val="Arial"/>
    </font>
    <font>
      <sz val="6"/>
      <color theme="0"/>
      <name val="Arial"/>
    </font>
    <font>
      <i/>
      <sz val="10"/>
      <color theme="1"/>
      <name val="Arial"/>
    </font>
    <font>
      <sz val="8"/>
      <color theme="0"/>
      <name val="Arial"/>
    </font>
    <font>
      <sz val="10"/>
      <color theme="0"/>
      <name val="Arial"/>
    </font>
    <font>
      <b/>
      <i/>
      <sz val="10"/>
      <color theme="1"/>
      <name val="Arial"/>
    </font>
    <font>
      <i/>
      <sz val="10"/>
      <color theme="0"/>
      <name val="Arial"/>
    </font>
    <font>
      <b/>
      <i/>
      <sz val="10"/>
      <color theme="0"/>
      <name val="Arial"/>
    </font>
    <font>
      <sz val="7"/>
      <color theme="0"/>
      <name val="Arial"/>
    </font>
    <font>
      <b/>
      <i/>
      <sz val="10"/>
      <color rgb="FFFF0000"/>
      <name val="Arial"/>
    </font>
    <font>
      <b/>
      <i/>
      <sz val="10"/>
      <color rgb="FFFF0000"/>
      <name val="Times New Roman"/>
    </font>
    <font>
      <b/>
      <i/>
      <sz val="10"/>
      <color theme="1"/>
      <name val="Times New Roman"/>
    </font>
    <font>
      <b/>
      <i/>
      <sz val="10"/>
      <color rgb="FFFFFFFF"/>
      <name val="Arial"/>
    </font>
    <font>
      <b/>
      <sz val="10"/>
      <color rgb="FFFF0000"/>
      <name val="Arial"/>
    </font>
    <font>
      <b/>
      <sz val="10"/>
      <color rgb="FFFF0000"/>
      <name val="Times New Roman"/>
    </font>
    <font>
      <b/>
      <sz val="8"/>
      <color theme="1"/>
      <name val="Arial"/>
    </font>
    <font>
      <b/>
      <sz val="8"/>
      <color theme="0"/>
      <name val="Arial"/>
    </font>
    <font>
      <b/>
      <sz val="10"/>
      <color theme="0"/>
      <name val="Arial"/>
    </font>
    <font>
      <b/>
      <sz val="10"/>
      <color theme="1"/>
      <name val="Times New Roman"/>
    </font>
    <font>
      <sz val="10"/>
      <color rgb="FFFF0000"/>
      <name val="Arial"/>
    </font>
    <font>
      <b/>
      <sz val="16"/>
      <color rgb="FF3366FF"/>
      <name val="Arial"/>
    </font>
    <font>
      <b/>
      <sz val="14"/>
      <color theme="1"/>
      <name val="Arial"/>
    </font>
    <font>
      <i/>
      <sz val="6"/>
      <color theme="1"/>
      <name val="Arial"/>
    </font>
    <font>
      <b/>
      <sz val="12"/>
      <color theme="1"/>
      <name val="Arial"/>
    </font>
    <font>
      <b/>
      <sz val="14"/>
      <color rgb="FF3366FF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9CC00"/>
        <bgColor rgb="FF99CC00"/>
      </patternFill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9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9">
    <xf numFmtId="0" fontId="0" fillId="0" borderId="0" xfId="0" applyAlignment="1">
      <alignment vertical="center"/>
    </xf>
    <xf numFmtId="0" fontId="1" fillId="0" borderId="0" xfId="0" applyFont="1"/>
    <xf numFmtId="43" fontId="2" fillId="0" borderId="0" xfId="0" applyNumberFormat="1" applyFont="1"/>
    <xf numFmtId="0" fontId="2" fillId="0" borderId="0" xfId="0" applyFont="1" applyAlignment="1">
      <alignment horizontal="center"/>
    </xf>
    <xf numFmtId="4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2" borderId="10" xfId="0" applyFont="1" applyFill="1" applyBorder="1"/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left" vertical="center" wrapText="1"/>
    </xf>
    <xf numFmtId="0" fontId="7" fillId="3" borderId="18" xfId="0" applyFont="1" applyFill="1" applyBorder="1" applyAlignment="1">
      <alignment horizontal="left" vertical="center"/>
    </xf>
    <xf numFmtId="0" fontId="1" fillId="3" borderId="20" xfId="0" applyFont="1" applyFill="1" applyBorder="1" applyAlignment="1">
      <alignment horizontal="left" vertical="center" wrapText="1"/>
    </xf>
    <xf numFmtId="0" fontId="1" fillId="3" borderId="19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center" vertical="center" wrapText="1"/>
    </xf>
    <xf numFmtId="43" fontId="2" fillId="3" borderId="17" xfId="0" applyNumberFormat="1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43" fontId="2" fillId="3" borderId="18" xfId="0" applyNumberFormat="1" applyFont="1" applyFill="1" applyBorder="1" applyAlignment="1">
      <alignment horizontal="center" vertical="center" wrapText="1"/>
    </xf>
    <xf numFmtId="43" fontId="10" fillId="3" borderId="18" xfId="0" applyNumberFormat="1" applyFont="1" applyFill="1" applyBorder="1" applyAlignment="1">
      <alignment horizontal="center" vertical="center" wrapText="1"/>
    </xf>
    <xf numFmtId="164" fontId="2" fillId="3" borderId="18" xfId="0" applyNumberFormat="1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5" xfId="0" applyFont="1" applyFill="1" applyBorder="1"/>
    <xf numFmtId="164" fontId="12" fillId="0" borderId="26" xfId="0" applyNumberFormat="1" applyFont="1" applyBorder="1" applyAlignment="1">
      <alignment horizontal="left" vertical="top" wrapText="1"/>
    </xf>
    <xf numFmtId="164" fontId="12" fillId="0" borderId="27" xfId="0" applyNumberFormat="1" applyFont="1" applyBorder="1" applyAlignment="1">
      <alignment horizontal="left" vertical="top" wrapText="1"/>
    </xf>
    <xf numFmtId="164" fontId="12" fillId="0" borderId="0" xfId="0" applyNumberFormat="1" applyFont="1" applyAlignment="1">
      <alignment horizontal="left" vertical="top" wrapText="1"/>
    </xf>
    <xf numFmtId="164" fontId="12" fillId="0" borderId="28" xfId="0" applyNumberFormat="1" applyFont="1" applyBorder="1" applyAlignment="1">
      <alignment horizontal="left" vertical="top" wrapText="1"/>
    </xf>
    <xf numFmtId="164" fontId="12" fillId="0" borderId="26" xfId="0" applyNumberFormat="1" applyFont="1" applyBorder="1" applyAlignment="1">
      <alignment horizontal="center" vertical="top" wrapText="1"/>
    </xf>
    <xf numFmtId="164" fontId="10" fillId="0" borderId="27" xfId="0" applyNumberFormat="1" applyFont="1" applyBorder="1" applyAlignment="1">
      <alignment horizontal="center" vertical="top" wrapText="1"/>
    </xf>
    <xf numFmtId="164" fontId="12" fillId="0" borderId="27" xfId="0" applyNumberFormat="1" applyFont="1" applyBorder="1" applyAlignment="1">
      <alignment horizontal="center" vertical="top" wrapText="1"/>
    </xf>
    <xf numFmtId="164" fontId="12" fillId="0" borderId="29" xfId="0" applyNumberFormat="1" applyFont="1" applyBorder="1" applyAlignment="1">
      <alignment horizontal="center" vertical="top" wrapText="1"/>
    </xf>
    <xf numFmtId="164" fontId="12" fillId="0" borderId="30" xfId="0" applyNumberFormat="1" applyFont="1" applyBorder="1" applyAlignment="1">
      <alignment horizontal="center" vertical="top" wrapText="1"/>
    </xf>
    <xf numFmtId="164" fontId="14" fillId="0" borderId="33" xfId="0" applyNumberFormat="1" applyFont="1" applyBorder="1" applyAlignment="1">
      <alignment horizontal="center" vertical="top" wrapText="1"/>
    </xf>
    <xf numFmtId="164" fontId="14" fillId="0" borderId="29" xfId="0" applyNumberFormat="1" applyFont="1" applyBorder="1" applyAlignment="1">
      <alignment horizontal="center" vertical="top" wrapText="1"/>
    </xf>
    <xf numFmtId="164" fontId="14" fillId="0" borderId="30" xfId="0" applyNumberFormat="1" applyFont="1" applyBorder="1" applyAlignment="1">
      <alignment horizontal="center" vertical="top" wrapText="1"/>
    </xf>
    <xf numFmtId="164" fontId="14" fillId="0" borderId="33" xfId="0" applyNumberFormat="1" applyFont="1" applyBorder="1" applyAlignment="1">
      <alignment vertical="top"/>
    </xf>
    <xf numFmtId="164" fontId="14" fillId="0" borderId="0" xfId="0" applyNumberFormat="1" applyFont="1" applyAlignment="1">
      <alignment vertical="top"/>
    </xf>
    <xf numFmtId="0" fontId="1" fillId="0" borderId="34" xfId="0" applyFont="1" applyBorder="1" applyAlignment="1">
      <alignment horizontal="right" vertical="center" wrapText="1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166" fontId="10" fillId="0" borderId="34" xfId="0" applyNumberFormat="1" applyFont="1" applyBorder="1" applyAlignment="1">
      <alignment horizontal="center" vertical="center"/>
    </xf>
    <xf numFmtId="43" fontId="2" fillId="0" borderId="34" xfId="0" applyNumberFormat="1" applyFont="1" applyBorder="1" applyAlignment="1">
      <alignment horizontal="center" vertical="center"/>
    </xf>
    <xf numFmtId="167" fontId="2" fillId="0" borderId="34" xfId="0" applyNumberFormat="1" applyFont="1" applyBorder="1" applyAlignment="1">
      <alignment horizontal="center" vertical="center" wrapText="1"/>
    </xf>
    <xf numFmtId="43" fontId="2" fillId="0" borderId="35" xfId="0" applyNumberFormat="1" applyFont="1" applyBorder="1" applyAlignment="1">
      <alignment horizontal="center" vertical="center" wrapText="1"/>
    </xf>
    <xf numFmtId="164" fontId="2" fillId="0" borderId="35" xfId="0" applyNumberFormat="1" applyFont="1" applyBorder="1" applyAlignment="1">
      <alignment horizontal="center" vertical="center" wrapText="1"/>
    </xf>
    <xf numFmtId="164" fontId="15" fillId="0" borderId="38" xfId="0" applyNumberFormat="1" applyFont="1" applyBorder="1" applyAlignment="1">
      <alignment horizontal="center" vertical="center" wrapText="1"/>
    </xf>
    <xf numFmtId="164" fontId="15" fillId="0" borderId="39" xfId="0" applyNumberFormat="1" applyFont="1" applyBorder="1" applyAlignment="1">
      <alignment vertical="center" wrapText="1"/>
    </xf>
    <xf numFmtId="164" fontId="15" fillId="0" borderId="41" xfId="0" applyNumberFormat="1" applyFont="1" applyBorder="1" applyAlignment="1">
      <alignment vertical="center" wrapText="1"/>
    </xf>
    <xf numFmtId="164" fontId="15" fillId="0" borderId="38" xfId="0" applyNumberFormat="1" applyFont="1" applyBorder="1" applyAlignment="1">
      <alignment vertical="center" wrapText="1"/>
    </xf>
    <xf numFmtId="164" fontId="15" fillId="0" borderId="42" xfId="0" applyNumberFormat="1" applyFont="1" applyBorder="1" applyAlignment="1">
      <alignment vertical="center" wrapText="1"/>
    </xf>
    <xf numFmtId="164" fontId="15" fillId="0" borderId="41" xfId="0" applyNumberFormat="1" applyFont="1" applyBorder="1"/>
    <xf numFmtId="0" fontId="1" fillId="0" borderId="43" xfId="0" applyFont="1" applyBorder="1" applyAlignment="1">
      <alignment horizontal="right" vertical="center" wrapText="1"/>
    </xf>
    <xf numFmtId="0" fontId="1" fillId="0" borderId="44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/>
    </xf>
    <xf numFmtId="166" fontId="2" fillId="0" borderId="43" xfId="0" applyNumberFormat="1" applyFont="1" applyBorder="1" applyAlignment="1">
      <alignment horizontal="center" vertical="center" wrapText="1"/>
    </xf>
    <xf numFmtId="43" fontId="2" fillId="0" borderId="43" xfId="0" applyNumberFormat="1" applyFont="1" applyBorder="1" applyAlignment="1">
      <alignment horizontal="center" vertical="center" wrapText="1"/>
    </xf>
    <xf numFmtId="167" fontId="2" fillId="0" borderId="43" xfId="0" applyNumberFormat="1" applyFont="1" applyBorder="1" applyAlignment="1">
      <alignment horizontal="center" vertical="center" wrapText="1"/>
    </xf>
    <xf numFmtId="43" fontId="2" fillId="0" borderId="44" xfId="0" applyNumberFormat="1" applyFont="1" applyBorder="1" applyAlignment="1">
      <alignment horizontal="center" vertical="center" wrapText="1"/>
    </xf>
    <xf numFmtId="164" fontId="15" fillId="0" borderId="47" xfId="0" applyNumberFormat="1" applyFont="1" applyBorder="1" applyAlignment="1">
      <alignment horizontal="center" vertical="center" wrapText="1"/>
    </xf>
    <xf numFmtId="164" fontId="15" fillId="0" borderId="48" xfId="0" applyNumberFormat="1" applyFont="1" applyBorder="1" applyAlignment="1">
      <alignment horizontal="center" vertical="center" wrapText="1"/>
    </xf>
    <xf numFmtId="164" fontId="15" fillId="0" borderId="51" xfId="0" applyNumberFormat="1" applyFont="1" applyBorder="1" applyAlignment="1">
      <alignment vertical="center"/>
    </xf>
    <xf numFmtId="164" fontId="15" fillId="0" borderId="47" xfId="0" applyNumberFormat="1" applyFont="1" applyBorder="1" applyAlignment="1">
      <alignment vertical="center"/>
    </xf>
    <xf numFmtId="164" fontId="15" fillId="0" borderId="48" xfId="0" applyNumberFormat="1" applyFont="1" applyBorder="1" applyAlignment="1">
      <alignment vertical="center"/>
    </xf>
    <xf numFmtId="164" fontId="15" fillId="0" borderId="51" xfId="0" applyNumberFormat="1" applyFont="1" applyBorder="1"/>
    <xf numFmtId="166" fontId="10" fillId="0" borderId="34" xfId="0" applyNumberFormat="1" applyFont="1" applyBorder="1" applyAlignment="1">
      <alignment horizontal="center" vertical="center" wrapText="1"/>
    </xf>
    <xf numFmtId="164" fontId="15" fillId="0" borderId="41" xfId="0" applyNumberFormat="1" applyFont="1" applyBorder="1" applyAlignment="1">
      <alignment vertical="center"/>
    </xf>
    <xf numFmtId="164" fontId="15" fillId="0" borderId="38" xfId="0" applyNumberFormat="1" applyFont="1" applyBorder="1" applyAlignment="1">
      <alignment vertical="center"/>
    </xf>
    <xf numFmtId="164" fontId="15" fillId="0" borderId="42" xfId="0" applyNumberFormat="1" applyFont="1" applyBorder="1" applyAlignment="1">
      <alignment vertical="center"/>
    </xf>
    <xf numFmtId="164" fontId="2" fillId="0" borderId="44" xfId="0" applyNumberFormat="1" applyFont="1" applyBorder="1" applyAlignment="1">
      <alignment horizontal="center" vertical="center" wrapText="1"/>
    </xf>
    <xf numFmtId="164" fontId="15" fillId="0" borderId="42" xfId="0" applyNumberFormat="1" applyFont="1" applyBorder="1" applyAlignment="1">
      <alignment horizontal="center" vertical="center" wrapText="1"/>
    </xf>
    <xf numFmtId="166" fontId="10" fillId="0" borderId="43" xfId="0" applyNumberFormat="1" applyFont="1" applyBorder="1" applyAlignment="1">
      <alignment horizontal="center" vertical="center" wrapText="1"/>
    </xf>
    <xf numFmtId="164" fontId="15" fillId="0" borderId="40" xfId="0" applyNumberFormat="1" applyFont="1" applyBorder="1" applyAlignment="1">
      <alignment vertical="center" wrapText="1"/>
    </xf>
    <xf numFmtId="164" fontId="15" fillId="0" borderId="48" xfId="0" applyNumberFormat="1" applyFont="1" applyBorder="1" applyAlignment="1">
      <alignment vertical="center" wrapText="1"/>
    </xf>
    <xf numFmtId="0" fontId="1" fillId="3" borderId="20" xfId="0" applyFont="1" applyFill="1" applyBorder="1" applyAlignment="1">
      <alignment horizontal="left" vertical="center"/>
    </xf>
    <xf numFmtId="0" fontId="1" fillId="3" borderId="19" xfId="0" applyFont="1" applyFill="1" applyBorder="1" applyAlignment="1">
      <alignment horizontal="left" vertical="center"/>
    </xf>
    <xf numFmtId="168" fontId="10" fillId="3" borderId="17" xfId="0" applyNumberFormat="1" applyFont="1" applyFill="1" applyBorder="1" applyAlignment="1">
      <alignment horizontal="center" vertical="center" wrapText="1"/>
    </xf>
    <xf numFmtId="167" fontId="2" fillId="3" borderId="17" xfId="0" applyNumberFormat="1" applyFont="1" applyFill="1" applyBorder="1" applyAlignment="1">
      <alignment horizontal="center" vertical="center" wrapText="1"/>
    </xf>
    <xf numFmtId="164" fontId="15" fillId="3" borderId="21" xfId="0" applyNumberFormat="1" applyFont="1" applyFill="1" applyBorder="1" applyAlignment="1">
      <alignment horizontal="center" vertical="center" wrapText="1"/>
    </xf>
    <xf numFmtId="164" fontId="15" fillId="3" borderId="22" xfId="0" applyNumberFormat="1" applyFont="1" applyFill="1" applyBorder="1" applyAlignment="1">
      <alignment horizontal="center" vertical="center" wrapText="1"/>
    </xf>
    <xf numFmtId="164" fontId="15" fillId="3" borderId="25" xfId="0" applyNumberFormat="1" applyFont="1" applyFill="1" applyBorder="1" applyAlignment="1">
      <alignment vertical="center"/>
    </xf>
    <xf numFmtId="164" fontId="15" fillId="3" borderId="21" xfId="0" applyNumberFormat="1" applyFont="1" applyFill="1" applyBorder="1" applyAlignment="1">
      <alignment vertical="center"/>
    </xf>
    <xf numFmtId="164" fontId="15" fillId="3" borderId="22" xfId="0" applyNumberFormat="1" applyFont="1" applyFill="1" applyBorder="1" applyAlignment="1">
      <alignment vertical="center"/>
    </xf>
    <xf numFmtId="164" fontId="15" fillId="3" borderId="25" xfId="0" applyNumberFormat="1" applyFont="1" applyFill="1" applyBorder="1"/>
    <xf numFmtId="0" fontId="1" fillId="0" borderId="26" xfId="0" applyFont="1" applyBorder="1" applyAlignment="1">
      <alignment horizontal="right" vertical="center" wrapText="1"/>
    </xf>
    <xf numFmtId="0" fontId="1" fillId="0" borderId="2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168" fontId="10" fillId="0" borderId="26" xfId="0" applyNumberFormat="1" applyFont="1" applyBorder="1" applyAlignment="1">
      <alignment horizontal="center" vertical="center" wrapText="1"/>
    </xf>
    <xf numFmtId="43" fontId="2" fillId="0" borderId="26" xfId="0" applyNumberFormat="1" applyFont="1" applyBorder="1" applyAlignment="1">
      <alignment horizontal="center" vertical="center" wrapText="1"/>
    </xf>
    <xf numFmtId="167" fontId="2" fillId="0" borderId="26" xfId="0" applyNumberFormat="1" applyFont="1" applyBorder="1" applyAlignment="1">
      <alignment horizontal="center" vertical="center" wrapText="1"/>
    </xf>
    <xf numFmtId="43" fontId="2" fillId="0" borderId="27" xfId="0" applyNumberFormat="1" applyFont="1" applyBorder="1" applyAlignment="1">
      <alignment horizontal="center" vertical="center" wrapText="1"/>
    </xf>
    <xf numFmtId="164" fontId="2" fillId="0" borderId="27" xfId="0" applyNumberFormat="1" applyFont="1" applyBorder="1" applyAlignment="1">
      <alignment horizontal="center" vertical="center" wrapText="1"/>
    </xf>
    <xf numFmtId="164" fontId="15" fillId="0" borderId="29" xfId="0" applyNumberFormat="1" applyFont="1" applyBorder="1" applyAlignment="1">
      <alignment horizontal="center" vertical="center" wrapText="1"/>
    </xf>
    <xf numFmtId="164" fontId="15" fillId="0" borderId="30" xfId="0" applyNumberFormat="1" applyFont="1" applyBorder="1" applyAlignment="1">
      <alignment horizontal="center" vertical="center" wrapText="1"/>
    </xf>
    <xf numFmtId="164" fontId="15" fillId="0" borderId="33" xfId="0" applyNumberFormat="1" applyFont="1" applyBorder="1" applyAlignment="1">
      <alignment vertical="center"/>
    </xf>
    <xf numFmtId="164" fontId="15" fillId="0" borderId="29" xfId="0" applyNumberFormat="1" applyFont="1" applyBorder="1" applyAlignment="1">
      <alignment vertical="center"/>
    </xf>
    <xf numFmtId="164" fontId="15" fillId="0" borderId="30" xfId="0" applyNumberFormat="1" applyFont="1" applyBorder="1" applyAlignment="1">
      <alignment vertical="center"/>
    </xf>
    <xf numFmtId="164" fontId="15" fillId="0" borderId="33" xfId="0" applyNumberFormat="1" applyFont="1" applyBorder="1"/>
    <xf numFmtId="168" fontId="10" fillId="0" borderId="34" xfId="0" applyNumberFormat="1" applyFont="1" applyBorder="1" applyAlignment="1">
      <alignment horizontal="center" vertical="center" wrapText="1"/>
    </xf>
    <xf numFmtId="168" fontId="10" fillId="0" borderId="43" xfId="0" applyNumberFormat="1" applyFont="1" applyBorder="1" applyAlignment="1">
      <alignment horizontal="center" vertical="center" wrapText="1"/>
    </xf>
    <xf numFmtId="0" fontId="7" fillId="0" borderId="27" xfId="0" applyFont="1" applyBorder="1" applyAlignment="1">
      <alignment horizontal="left" vertical="center"/>
    </xf>
    <xf numFmtId="0" fontId="1" fillId="0" borderId="26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164" fontId="15" fillId="0" borderId="29" xfId="0" applyNumberFormat="1" applyFont="1" applyBorder="1" applyAlignment="1">
      <alignment horizontal="left" vertical="center" wrapText="1"/>
    </xf>
    <xf numFmtId="164" fontId="15" fillId="0" borderId="30" xfId="0" applyNumberFormat="1" applyFont="1" applyBorder="1" applyAlignment="1">
      <alignment horizontal="left" vertical="center" wrapText="1"/>
    </xf>
    <xf numFmtId="0" fontId="1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left" vertical="center"/>
    </xf>
    <xf numFmtId="0" fontId="2" fillId="0" borderId="34" xfId="0" applyFont="1" applyBorder="1" applyAlignment="1">
      <alignment horizontal="center" vertical="center" wrapText="1"/>
    </xf>
    <xf numFmtId="164" fontId="15" fillId="0" borderId="38" xfId="0" applyNumberFormat="1" applyFont="1" applyBorder="1" applyAlignment="1">
      <alignment horizontal="left" vertical="center" wrapText="1"/>
    </xf>
    <xf numFmtId="164" fontId="15" fillId="0" borderId="42" xfId="0" applyNumberFormat="1" applyFont="1" applyBorder="1" applyAlignment="1">
      <alignment horizontal="left" vertical="center" wrapText="1"/>
    </xf>
    <xf numFmtId="164" fontId="15" fillId="0" borderId="47" xfId="0" applyNumberFormat="1" applyFont="1" applyBorder="1" applyAlignment="1">
      <alignment horizontal="left" vertical="center" wrapText="1"/>
    </xf>
    <xf numFmtId="164" fontId="15" fillId="0" borderId="48" xfId="0" applyNumberFormat="1" applyFont="1" applyBorder="1" applyAlignment="1">
      <alignment horizontal="left" vertical="center" wrapText="1"/>
    </xf>
    <xf numFmtId="164" fontId="15" fillId="0" borderId="37" xfId="0" applyNumberFormat="1" applyFont="1" applyBorder="1" applyAlignment="1">
      <alignment vertical="center" wrapText="1"/>
    </xf>
    <xf numFmtId="0" fontId="1" fillId="0" borderId="36" xfId="0" applyFont="1" applyBorder="1"/>
    <xf numFmtId="39" fontId="2" fillId="0" borderId="34" xfId="0" applyNumberFormat="1" applyFont="1" applyBorder="1" applyAlignment="1">
      <alignment horizontal="center" vertical="center" wrapText="1"/>
    </xf>
    <xf numFmtId="0" fontId="7" fillId="0" borderId="44" xfId="0" applyFont="1" applyBorder="1" applyAlignment="1">
      <alignment horizontal="left" vertical="center"/>
    </xf>
    <xf numFmtId="0" fontId="1" fillId="0" borderId="43" xfId="0" applyFont="1" applyBorder="1" applyAlignment="1">
      <alignment horizontal="center" vertical="center" wrapText="1"/>
    </xf>
    <xf numFmtId="39" fontId="2" fillId="0" borderId="43" xfId="0" applyNumberFormat="1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1" fillId="0" borderId="45" xfId="0" applyFont="1" applyBorder="1"/>
    <xf numFmtId="0" fontId="1" fillId="0" borderId="52" xfId="0" applyFont="1" applyBorder="1" applyAlignment="1">
      <alignment horizontal="right" vertical="center" wrapText="1"/>
    </xf>
    <xf numFmtId="0" fontId="7" fillId="0" borderId="53" xfId="0" applyFont="1" applyBorder="1" applyAlignment="1">
      <alignment horizontal="left" vertical="center"/>
    </xf>
    <xf numFmtId="0" fontId="1" fillId="0" borderId="54" xfId="0" applyFont="1" applyBorder="1" applyAlignment="1">
      <alignment horizontal="left" vertical="center"/>
    </xf>
    <xf numFmtId="0" fontId="1" fillId="0" borderId="55" xfId="0" applyFont="1" applyBorder="1" applyAlignment="1">
      <alignment horizontal="left" vertical="center"/>
    </xf>
    <xf numFmtId="0" fontId="1" fillId="0" borderId="52" xfId="0" applyFont="1" applyBorder="1" applyAlignment="1">
      <alignment horizontal="center" vertical="center" wrapText="1"/>
    </xf>
    <xf numFmtId="39" fontId="2" fillId="0" borderId="52" xfId="0" applyNumberFormat="1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43" fontId="2" fillId="0" borderId="53" xfId="0" applyNumberFormat="1" applyFont="1" applyBorder="1" applyAlignment="1">
      <alignment horizontal="center" vertical="center" wrapText="1"/>
    </xf>
    <xf numFmtId="164" fontId="2" fillId="0" borderId="53" xfId="0" applyNumberFormat="1" applyFont="1" applyBorder="1" applyAlignment="1">
      <alignment horizontal="center" vertical="center" wrapText="1"/>
    </xf>
    <xf numFmtId="164" fontId="15" fillId="0" borderId="56" xfId="0" applyNumberFormat="1" applyFont="1" applyBorder="1" applyAlignment="1">
      <alignment horizontal="left" vertical="center" wrapText="1"/>
    </xf>
    <xf numFmtId="164" fontId="15" fillId="0" borderId="57" xfId="0" applyNumberFormat="1" applyFont="1" applyBorder="1" applyAlignment="1">
      <alignment horizontal="left" vertical="center" wrapText="1"/>
    </xf>
    <xf numFmtId="164" fontId="15" fillId="0" borderId="60" xfId="0" applyNumberFormat="1" applyFont="1" applyBorder="1" applyAlignment="1">
      <alignment vertical="center"/>
    </xf>
    <xf numFmtId="164" fontId="15" fillId="0" borderId="56" xfId="0" applyNumberFormat="1" applyFont="1" applyBorder="1" applyAlignment="1">
      <alignment vertical="center"/>
    </xf>
    <xf numFmtId="164" fontId="15" fillId="0" borderId="57" xfId="0" applyNumberFormat="1" applyFont="1" applyBorder="1" applyAlignment="1">
      <alignment vertical="center"/>
    </xf>
    <xf numFmtId="164" fontId="15" fillId="0" borderId="60" xfId="0" applyNumberFormat="1" applyFont="1" applyBorder="1"/>
    <xf numFmtId="0" fontId="1" fillId="0" borderId="61" xfId="0" applyFont="1" applyBorder="1"/>
    <xf numFmtId="0" fontId="1" fillId="0" borderId="54" xfId="0" applyFont="1" applyBorder="1"/>
    <xf numFmtId="39" fontId="2" fillId="0" borderId="26" xfId="0" applyNumberFormat="1" applyFont="1" applyBorder="1" applyAlignment="1">
      <alignment horizontal="center" vertical="center" wrapText="1"/>
    </xf>
    <xf numFmtId="164" fontId="1" fillId="0" borderId="37" xfId="0" applyNumberFormat="1" applyFont="1" applyBorder="1" applyAlignment="1">
      <alignment horizontal="left" vertical="center"/>
    </xf>
    <xf numFmtId="43" fontId="1" fillId="0" borderId="37" xfId="0" applyNumberFormat="1" applyFont="1" applyBorder="1" applyAlignment="1">
      <alignment horizontal="left" vertical="center"/>
    </xf>
    <xf numFmtId="43" fontId="2" fillId="0" borderId="34" xfId="0" applyNumberFormat="1" applyFont="1" applyBorder="1" applyAlignment="1">
      <alignment horizontal="center" vertical="center" wrapText="1"/>
    </xf>
    <xf numFmtId="164" fontId="2" fillId="3" borderId="17" xfId="0" applyNumberFormat="1" applyFont="1" applyFill="1" applyBorder="1" applyAlignment="1">
      <alignment horizontal="center" vertical="center" wrapText="1"/>
    </xf>
    <xf numFmtId="0" fontId="16" fillId="0" borderId="44" xfId="0" applyFont="1" applyBorder="1" applyAlignment="1">
      <alignment horizontal="left" vertical="center"/>
    </xf>
    <xf numFmtId="0" fontId="16" fillId="0" borderId="46" xfId="0" applyFont="1" applyBorder="1" applyAlignment="1">
      <alignment horizontal="left" vertical="center"/>
    </xf>
    <xf numFmtId="0" fontId="13" fillId="0" borderId="47" xfId="0" applyFont="1" applyBorder="1" applyAlignment="1">
      <alignment horizontal="left" vertical="center" wrapText="1"/>
    </xf>
    <xf numFmtId="0" fontId="13" fillId="0" borderId="48" xfId="0" applyFont="1" applyBorder="1" applyAlignment="1">
      <alignment horizontal="left" vertical="center" wrapText="1"/>
    </xf>
    <xf numFmtId="0" fontId="13" fillId="0" borderId="51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4" borderId="62" xfId="0" applyFont="1" applyFill="1" applyBorder="1" applyAlignment="1">
      <alignment horizontal="center" vertical="center"/>
    </xf>
    <xf numFmtId="0" fontId="13" fillId="4" borderId="63" xfId="0" applyFont="1" applyFill="1" applyBorder="1" applyAlignment="1">
      <alignment horizontal="center" vertical="center"/>
    </xf>
    <xf numFmtId="0" fontId="13" fillId="4" borderId="64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left" vertical="center"/>
    </xf>
    <xf numFmtId="0" fontId="13" fillId="3" borderId="21" xfId="0" applyFont="1" applyFill="1" applyBorder="1" applyAlignment="1">
      <alignment horizontal="left" vertical="center" wrapText="1"/>
    </xf>
    <xf numFmtId="0" fontId="13" fillId="3" borderId="22" xfId="0" applyFont="1" applyFill="1" applyBorder="1" applyAlignment="1">
      <alignment horizontal="left" vertical="center" wrapText="1"/>
    </xf>
    <xf numFmtId="0" fontId="13" fillId="3" borderId="25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left" vertical="center"/>
    </xf>
    <xf numFmtId="0" fontId="16" fillId="0" borderId="37" xfId="0" applyFont="1" applyBorder="1" applyAlignment="1">
      <alignment horizontal="left" vertical="center"/>
    </xf>
    <xf numFmtId="0" fontId="13" fillId="0" borderId="35" xfId="0" applyFont="1" applyBorder="1" applyAlignment="1">
      <alignment horizontal="left" vertical="center" wrapText="1"/>
    </xf>
    <xf numFmtId="0" fontId="13" fillId="0" borderId="35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66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3" fillId="4" borderId="68" xfId="0" applyFont="1" applyFill="1" applyBorder="1" applyAlignment="1">
      <alignment horizontal="center" vertical="center"/>
    </xf>
    <xf numFmtId="0" fontId="13" fillId="4" borderId="69" xfId="0" applyFont="1" applyFill="1" applyBorder="1" applyAlignment="1">
      <alignment horizontal="center" vertical="center"/>
    </xf>
    <xf numFmtId="0" fontId="13" fillId="4" borderId="70" xfId="0" applyFont="1" applyFill="1" applyBorder="1" applyAlignment="1">
      <alignment horizontal="center" vertical="center"/>
    </xf>
    <xf numFmtId="0" fontId="13" fillId="4" borderId="71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" fillId="0" borderId="17" xfId="0" applyFont="1" applyBorder="1" applyAlignment="1">
      <alignment horizontal="right" vertical="center" wrapText="1"/>
    </xf>
    <xf numFmtId="0" fontId="1" fillId="0" borderId="17" xfId="0" applyFont="1" applyBorder="1" applyAlignment="1">
      <alignment horizontal="center" vertical="center" wrapText="1"/>
    </xf>
    <xf numFmtId="43" fontId="2" fillId="0" borderId="17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10" fontId="2" fillId="0" borderId="17" xfId="0" applyNumberFormat="1" applyFont="1" applyBorder="1" applyAlignment="1">
      <alignment horizontal="center" vertical="center" wrapText="1"/>
    </xf>
    <xf numFmtId="10" fontId="13" fillId="0" borderId="17" xfId="0" applyNumberFormat="1" applyFont="1" applyBorder="1" applyAlignment="1">
      <alignment horizontal="center" vertical="center" wrapText="1"/>
    </xf>
    <xf numFmtId="10" fontId="17" fillId="0" borderId="17" xfId="0" applyNumberFormat="1" applyFont="1" applyBorder="1" applyAlignment="1">
      <alignment horizontal="center" vertical="center" wrapText="1"/>
    </xf>
    <xf numFmtId="10" fontId="18" fillId="0" borderId="0" xfId="0" applyNumberFormat="1" applyFont="1"/>
    <xf numFmtId="10" fontId="15" fillId="0" borderId="0" xfId="0" applyNumberFormat="1" applyFont="1" applyAlignment="1">
      <alignment horizontal="center" vertical="center" wrapText="1"/>
    </xf>
    <xf numFmtId="10" fontId="15" fillId="0" borderId="0" xfId="0" applyNumberFormat="1" applyFont="1" applyAlignment="1">
      <alignment horizontal="center" vertical="center"/>
    </xf>
    <xf numFmtId="169" fontId="13" fillId="5" borderId="17" xfId="0" applyNumberFormat="1" applyFont="1" applyFill="1" applyBorder="1" applyAlignment="1">
      <alignment horizontal="center" vertical="center" wrapText="1"/>
    </xf>
    <xf numFmtId="43" fontId="2" fillId="5" borderId="17" xfId="0" applyNumberFormat="1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0" fillId="5" borderId="17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18" fillId="0" borderId="17" xfId="0" applyFont="1" applyBorder="1"/>
    <xf numFmtId="0" fontId="18" fillId="0" borderId="0" xfId="0" applyFont="1"/>
    <xf numFmtId="0" fontId="18" fillId="5" borderId="17" xfId="0" applyFont="1" applyFill="1" applyBorder="1" applyAlignment="1">
      <alignment horizontal="center" vertical="center" wrapText="1"/>
    </xf>
    <xf numFmtId="10" fontId="18" fillId="5" borderId="17" xfId="0" applyNumberFormat="1" applyFont="1" applyFill="1" applyBorder="1" applyAlignment="1">
      <alignment horizontal="right" vertical="center"/>
    </xf>
    <xf numFmtId="10" fontId="18" fillId="5" borderId="19" xfId="0" applyNumberFormat="1" applyFont="1" applyFill="1" applyBorder="1" applyAlignment="1">
      <alignment horizontal="right" vertical="center"/>
    </xf>
    <xf numFmtId="0" fontId="1" fillId="6" borderId="17" xfId="0" applyFont="1" applyFill="1" applyBorder="1" applyAlignment="1">
      <alignment horizontal="center" vertical="center" wrapText="1"/>
    </xf>
    <xf numFmtId="43" fontId="2" fillId="6" borderId="17" xfId="0" applyNumberFormat="1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18" fillId="6" borderId="17" xfId="0" applyFont="1" applyFill="1" applyBorder="1" applyAlignment="1">
      <alignment horizontal="center" vertical="center" wrapText="1"/>
    </xf>
    <xf numFmtId="10" fontId="21" fillId="6" borderId="17" xfId="0" applyNumberFormat="1" applyFont="1" applyFill="1" applyBorder="1" applyAlignment="1">
      <alignment horizontal="right" vertical="center"/>
    </xf>
    <xf numFmtId="10" fontId="21" fillId="6" borderId="19" xfId="0" applyNumberFormat="1" applyFont="1" applyFill="1" applyBorder="1" applyAlignment="1">
      <alignment horizontal="right" vertical="center"/>
    </xf>
    <xf numFmtId="0" fontId="1" fillId="5" borderId="17" xfId="0" applyFont="1" applyFill="1" applyBorder="1" applyAlignment="1">
      <alignment horizontal="left" vertical="center" wrapText="1"/>
    </xf>
    <xf numFmtId="43" fontId="2" fillId="5" borderId="17" xfId="0" applyNumberFormat="1" applyFont="1" applyFill="1" applyBorder="1" applyAlignment="1">
      <alignment horizontal="left" vertical="center" wrapText="1"/>
    </xf>
    <xf numFmtId="0" fontId="18" fillId="5" borderId="17" xfId="0" applyFont="1" applyFill="1" applyBorder="1" applyAlignment="1">
      <alignment horizontal="left" vertical="center" wrapText="1"/>
    </xf>
    <xf numFmtId="10" fontId="2" fillId="0" borderId="17" xfId="0" applyNumberFormat="1" applyFont="1" applyBorder="1" applyAlignment="1">
      <alignment horizontal="left" vertical="center" wrapText="1"/>
    </xf>
    <xf numFmtId="10" fontId="17" fillId="0" borderId="17" xfId="0" applyNumberFormat="1" applyFont="1" applyBorder="1" applyAlignment="1">
      <alignment horizontal="left" vertical="center" wrapText="1"/>
    </xf>
    <xf numFmtId="10" fontId="22" fillId="0" borderId="17" xfId="0" applyNumberFormat="1" applyFont="1" applyBorder="1" applyAlignment="1">
      <alignment horizontal="center" vertical="center"/>
    </xf>
    <xf numFmtId="10" fontId="22" fillId="0" borderId="3" xfId="0" applyNumberFormat="1" applyFont="1" applyBorder="1" applyAlignment="1">
      <alignment horizontal="center" vertical="center"/>
    </xf>
    <xf numFmtId="10" fontId="2" fillId="0" borderId="0" xfId="0" applyNumberFormat="1" applyFont="1"/>
    <xf numFmtId="10" fontId="17" fillId="0" borderId="0" xfId="0" applyNumberFormat="1" applyFont="1"/>
    <xf numFmtId="164" fontId="23" fillId="5" borderId="75" xfId="0" applyNumberFormat="1" applyFont="1" applyFill="1" applyBorder="1" applyAlignment="1">
      <alignment vertical="center"/>
    </xf>
    <xf numFmtId="164" fontId="23" fillId="5" borderId="76" xfId="0" applyNumberFormat="1" applyFont="1" applyFill="1" applyBorder="1" applyAlignment="1">
      <alignment vertical="center"/>
    </xf>
    <xf numFmtId="164" fontId="23" fillId="5" borderId="77" xfId="0" applyNumberFormat="1" applyFont="1" applyFill="1" applyBorder="1" applyAlignment="1">
      <alignment vertical="center"/>
    </xf>
    <xf numFmtId="164" fontId="23" fillId="5" borderId="78" xfId="0" applyNumberFormat="1" applyFont="1" applyFill="1" applyBorder="1" applyAlignment="1">
      <alignment vertical="center"/>
    </xf>
    <xf numFmtId="10" fontId="23" fillId="5" borderId="78" xfId="0" applyNumberFormat="1" applyFont="1" applyFill="1" applyBorder="1" applyAlignment="1">
      <alignment vertical="center"/>
    </xf>
    <xf numFmtId="164" fontId="23" fillId="5" borderId="18" xfId="0" applyNumberFormat="1" applyFont="1" applyFill="1" applyBorder="1" applyAlignment="1">
      <alignment vertical="center"/>
    </xf>
    <xf numFmtId="164" fontId="23" fillId="5" borderId="20" xfId="0" applyNumberFormat="1" applyFont="1" applyFill="1" applyBorder="1" applyAlignment="1">
      <alignment vertical="center"/>
    </xf>
    <xf numFmtId="164" fontId="23" fillId="5" borderId="19" xfId="0" applyNumberFormat="1" applyFont="1" applyFill="1" applyBorder="1" applyAlignment="1">
      <alignment vertical="center"/>
    </xf>
    <xf numFmtId="164" fontId="24" fillId="5" borderId="19" xfId="0" applyNumberFormat="1" applyFont="1" applyFill="1" applyBorder="1" applyAlignment="1">
      <alignment vertical="center"/>
    </xf>
    <xf numFmtId="164" fontId="23" fillId="0" borderId="0" xfId="0" applyNumberFormat="1" applyFont="1" applyAlignment="1">
      <alignment vertical="center"/>
    </xf>
    <xf numFmtId="164" fontId="21" fillId="0" borderId="0" xfId="0" applyNumberFormat="1" applyFont="1"/>
    <xf numFmtId="164" fontId="15" fillId="0" borderId="0" xfId="0" applyNumberFormat="1" applyFont="1" applyAlignment="1">
      <alignment horizontal="center" vertical="center"/>
    </xf>
    <xf numFmtId="164" fontId="23" fillId="0" borderId="0" xfId="0" applyNumberFormat="1" applyFont="1"/>
    <xf numFmtId="4" fontId="19" fillId="5" borderId="75" xfId="0" applyNumberFormat="1" applyFont="1" applyFill="1" applyBorder="1" applyAlignment="1">
      <alignment vertical="center"/>
    </xf>
    <xf numFmtId="4" fontId="19" fillId="5" borderId="76" xfId="0" applyNumberFormat="1" applyFont="1" applyFill="1" applyBorder="1" applyAlignment="1">
      <alignment vertical="center"/>
    </xf>
    <xf numFmtId="4" fontId="19" fillId="5" borderId="77" xfId="0" applyNumberFormat="1" applyFont="1" applyFill="1" applyBorder="1" applyAlignment="1">
      <alignment vertical="center"/>
    </xf>
    <xf numFmtId="4" fontId="19" fillId="5" borderId="79" xfId="0" applyNumberFormat="1" applyFont="1" applyFill="1" applyBorder="1" applyAlignment="1">
      <alignment vertical="center"/>
    </xf>
    <xf numFmtId="4" fontId="21" fillId="5" borderId="79" xfId="0" applyNumberFormat="1" applyFont="1" applyFill="1" applyBorder="1" applyAlignment="1">
      <alignment vertical="center"/>
    </xf>
    <xf numFmtId="4" fontId="21" fillId="5" borderId="18" xfId="0" applyNumberFormat="1" applyFont="1" applyFill="1" applyBorder="1" applyAlignment="1">
      <alignment vertical="center"/>
    </xf>
    <xf numFmtId="4" fontId="19" fillId="5" borderId="20" xfId="0" applyNumberFormat="1" applyFont="1" applyFill="1" applyBorder="1" applyAlignment="1">
      <alignment vertical="center"/>
    </xf>
    <xf numFmtId="4" fontId="19" fillId="5" borderId="19" xfId="0" applyNumberFormat="1" applyFont="1" applyFill="1" applyBorder="1" applyAlignment="1">
      <alignment vertical="center"/>
    </xf>
    <xf numFmtId="4" fontId="25" fillId="5" borderId="19" xfId="0" applyNumberFormat="1" applyFont="1" applyFill="1" applyBorder="1" applyAlignment="1">
      <alignment vertical="center"/>
    </xf>
    <xf numFmtId="4" fontId="26" fillId="0" borderId="0" xfId="0" applyNumberFormat="1" applyFont="1" applyAlignment="1">
      <alignment vertical="center"/>
    </xf>
    <xf numFmtId="4" fontId="19" fillId="0" borderId="0" xfId="0" applyNumberFormat="1" applyFont="1"/>
    <xf numFmtId="164" fontId="23" fillId="5" borderId="80" xfId="0" applyNumberFormat="1" applyFont="1" applyFill="1" applyBorder="1" applyAlignment="1">
      <alignment vertical="center"/>
    </xf>
    <xf numFmtId="164" fontId="27" fillId="5" borderId="79" xfId="0" applyNumberFormat="1" applyFont="1" applyFill="1" applyBorder="1" applyAlignment="1">
      <alignment vertical="center"/>
    </xf>
    <xf numFmtId="164" fontId="27" fillId="5" borderId="81" xfId="0" applyNumberFormat="1" applyFont="1" applyFill="1" applyBorder="1" applyAlignment="1">
      <alignment vertical="center"/>
    </xf>
    <xf numFmtId="164" fontId="27" fillId="5" borderId="18" xfId="0" applyNumberFormat="1" applyFont="1" applyFill="1" applyBorder="1" applyAlignment="1">
      <alignment vertical="center"/>
    </xf>
    <xf numFmtId="164" fontId="27" fillId="5" borderId="20" xfId="0" applyNumberFormat="1" applyFont="1" applyFill="1" applyBorder="1" applyAlignment="1">
      <alignment vertical="center"/>
    </xf>
    <xf numFmtId="164" fontId="27" fillId="5" borderId="19" xfId="0" applyNumberFormat="1" applyFont="1" applyFill="1" applyBorder="1" applyAlignment="1">
      <alignment vertical="center"/>
    </xf>
    <xf numFmtId="164" fontId="28" fillId="5" borderId="19" xfId="0" applyNumberFormat="1" applyFont="1" applyFill="1" applyBorder="1" applyAlignment="1">
      <alignment vertical="center"/>
    </xf>
    <xf numFmtId="164" fontId="27" fillId="0" borderId="0" xfId="0" applyNumberFormat="1" applyFont="1" applyAlignment="1">
      <alignment vertical="center"/>
    </xf>
    <xf numFmtId="164" fontId="27" fillId="0" borderId="0" xfId="0" applyNumberFormat="1" applyFont="1"/>
    <xf numFmtId="43" fontId="7" fillId="7" borderId="84" xfId="0" applyNumberFormat="1" applyFont="1" applyFill="1" applyBorder="1" applyAlignment="1">
      <alignment horizontal="right" vertical="center"/>
    </xf>
    <xf numFmtId="43" fontId="29" fillId="7" borderId="85" xfId="0" applyNumberFormat="1" applyFont="1" applyFill="1" applyBorder="1" applyAlignment="1">
      <alignment horizontal="right" vertical="center"/>
    </xf>
    <xf numFmtId="0" fontId="29" fillId="7" borderId="86" xfId="0" applyFont="1" applyFill="1" applyBorder="1" applyAlignment="1">
      <alignment horizontal="center" vertical="center"/>
    </xf>
    <xf numFmtId="43" fontId="29" fillId="7" borderId="85" xfId="0" applyNumberFormat="1" applyFont="1" applyFill="1" applyBorder="1" applyAlignment="1">
      <alignment horizontal="center" vertical="center"/>
    </xf>
    <xf numFmtId="164" fontId="30" fillId="7" borderId="85" xfId="0" applyNumberFormat="1" applyFont="1" applyFill="1" applyBorder="1" applyAlignment="1">
      <alignment horizontal="center" vertical="center"/>
    </xf>
    <xf numFmtId="0" fontId="31" fillId="7" borderId="18" xfId="0" applyFont="1" applyFill="1" applyBorder="1" applyAlignment="1">
      <alignment horizontal="center" vertical="center"/>
    </xf>
    <xf numFmtId="0" fontId="31" fillId="7" borderId="20" xfId="0" applyFont="1" applyFill="1" applyBorder="1" applyAlignment="1">
      <alignment horizontal="center" vertical="center"/>
    </xf>
    <xf numFmtId="0" fontId="31" fillId="7" borderId="19" xfId="0" applyFont="1" applyFill="1" applyBorder="1" applyAlignment="1">
      <alignment horizontal="center" vertical="center"/>
    </xf>
    <xf numFmtId="164" fontId="28" fillId="7" borderId="19" xfId="0" applyNumberFormat="1" applyFont="1" applyFill="1" applyBorder="1" applyAlignment="1">
      <alignment vertical="center"/>
    </xf>
    <xf numFmtId="10" fontId="7" fillId="0" borderId="0" xfId="0" applyNumberFormat="1" applyFont="1" applyAlignment="1">
      <alignment horizontal="right" vertical="center"/>
    </xf>
    <xf numFmtId="0" fontId="1" fillId="5" borderId="87" xfId="0" applyFont="1" applyFill="1" applyBorder="1" applyAlignment="1">
      <alignment horizontal="left" vertical="center" wrapText="1"/>
    </xf>
    <xf numFmtId="0" fontId="1" fillId="5" borderId="88" xfId="0" applyFont="1" applyFill="1" applyBorder="1" applyAlignment="1">
      <alignment horizontal="left" vertical="center" wrapText="1"/>
    </xf>
    <xf numFmtId="0" fontId="1" fillId="5" borderId="10" xfId="0" applyFont="1" applyFill="1" applyBorder="1" applyAlignment="1">
      <alignment horizontal="left" vertical="center" wrapText="1"/>
    </xf>
    <xf numFmtId="43" fontId="2" fillId="5" borderId="10" xfId="0" applyNumberFormat="1" applyFont="1" applyFill="1" applyBorder="1" applyAlignment="1">
      <alignment horizontal="left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/>
    </xf>
    <xf numFmtId="0" fontId="33" fillId="5" borderId="10" xfId="0" applyFont="1" applyFill="1" applyBorder="1" applyAlignment="1">
      <alignment horizontal="center" vertical="center"/>
    </xf>
    <xf numFmtId="0" fontId="33" fillId="5" borderId="89" xfId="0" applyFont="1" applyFill="1" applyBorder="1" applyAlignment="1">
      <alignment horizontal="center" vertical="center"/>
    </xf>
    <xf numFmtId="0" fontId="33" fillId="5" borderId="90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3" fillId="0" borderId="17" xfId="0" applyFont="1" applyBorder="1" applyAlignment="1">
      <alignment horizontal="center" vertical="center"/>
    </xf>
    <xf numFmtId="168" fontId="13" fillId="0" borderId="17" xfId="0" applyNumberFormat="1" applyFont="1" applyBorder="1" applyAlignment="1">
      <alignment horizontal="center" vertical="center" wrapText="1"/>
    </xf>
    <xf numFmtId="171" fontId="1" fillId="0" borderId="1" xfId="0" applyNumberFormat="1" applyFont="1" applyBorder="1" applyAlignment="1">
      <alignment horizontal="center" vertical="center"/>
    </xf>
    <xf numFmtId="168" fontId="36" fillId="0" borderId="17" xfId="0" applyNumberFormat="1" applyFont="1" applyBorder="1" applyAlignment="1">
      <alignment horizontal="center" vertical="center" wrapText="1"/>
    </xf>
    <xf numFmtId="171" fontId="38" fillId="0" borderId="17" xfId="0" applyNumberFormat="1" applyFont="1" applyBorder="1" applyAlignment="1">
      <alignment horizontal="center" vertical="center" wrapText="1"/>
    </xf>
    <xf numFmtId="171" fontId="38" fillId="0" borderId="1" xfId="0" applyNumberFormat="1" applyFont="1" applyBorder="1" applyAlignment="1">
      <alignment horizontal="center" vertical="center" wrapText="1"/>
    </xf>
    <xf numFmtId="171" fontId="38" fillId="0" borderId="2" xfId="0" applyNumberFormat="1" applyFont="1" applyBorder="1" applyAlignment="1">
      <alignment horizontal="center" vertical="center" wrapText="1"/>
    </xf>
    <xf numFmtId="171" fontId="1" fillId="0" borderId="3" xfId="0" applyNumberFormat="1" applyFont="1" applyBorder="1" applyAlignment="1">
      <alignment horizontal="center" vertical="center"/>
    </xf>
    <xf numFmtId="172" fontId="2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43" fontId="2" fillId="2" borderId="4" xfId="0" applyNumberFormat="1" applyFont="1" applyFill="1" applyBorder="1" applyAlignment="1">
      <alignment horizontal="center" vertical="center" wrapText="1"/>
    </xf>
    <xf numFmtId="0" fontId="8" fillId="0" borderId="15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165" fontId="1" fillId="2" borderId="9" xfId="0" applyNumberFormat="1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vertical="center"/>
    </xf>
    <xf numFmtId="164" fontId="13" fillId="0" borderId="31" xfId="0" applyNumberFormat="1" applyFont="1" applyBorder="1" applyAlignment="1">
      <alignment horizontal="center" vertical="center" wrapText="1"/>
    </xf>
    <xf numFmtId="0" fontId="8" fillId="0" borderId="32" xfId="0" applyFont="1" applyBorder="1" applyAlignment="1">
      <alignment vertical="center"/>
    </xf>
    <xf numFmtId="164" fontId="15" fillId="0" borderId="39" xfId="0" applyNumberFormat="1" applyFont="1" applyBorder="1" applyAlignment="1">
      <alignment vertical="center" wrapText="1"/>
    </xf>
    <xf numFmtId="0" fontId="8" fillId="0" borderId="40" xfId="0" applyFont="1" applyBorder="1" applyAlignment="1">
      <alignment vertical="center"/>
    </xf>
    <xf numFmtId="164" fontId="15" fillId="0" borderId="49" xfId="0" applyNumberFormat="1" applyFont="1" applyBorder="1" applyAlignment="1">
      <alignment vertical="center" wrapText="1"/>
    </xf>
    <xf numFmtId="0" fontId="8" fillId="0" borderId="50" xfId="0" applyFont="1" applyBorder="1" applyAlignment="1">
      <alignment vertical="center"/>
    </xf>
    <xf numFmtId="164" fontId="15" fillId="0" borderId="39" xfId="0" applyNumberFormat="1" applyFont="1" applyBorder="1" applyAlignment="1">
      <alignment horizontal="center" vertical="center" wrapText="1"/>
    </xf>
    <xf numFmtId="164" fontId="15" fillId="3" borderId="23" xfId="0" applyNumberFormat="1" applyFont="1" applyFill="1" applyBorder="1" applyAlignment="1">
      <alignment vertical="center" wrapText="1"/>
    </xf>
    <xf numFmtId="164" fontId="15" fillId="0" borderId="31" xfId="0" applyNumberFormat="1" applyFont="1" applyBorder="1" applyAlignment="1">
      <alignment vertical="center" wrapText="1"/>
    </xf>
    <xf numFmtId="164" fontId="15" fillId="0" borderId="58" xfId="0" applyNumberFormat="1" applyFont="1" applyBorder="1" applyAlignment="1">
      <alignment vertical="center" wrapText="1"/>
    </xf>
    <xf numFmtId="0" fontId="8" fillId="0" borderId="59" xfId="0" applyFont="1" applyBorder="1" applyAlignment="1">
      <alignment vertical="center"/>
    </xf>
    <xf numFmtId="164" fontId="15" fillId="3" borderId="23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164" fontId="13" fillId="0" borderId="35" xfId="0" applyNumberFormat="1" applyFont="1" applyBorder="1" applyAlignment="1">
      <alignment horizontal="center" vertical="center" wrapText="1"/>
    </xf>
    <xf numFmtId="0" fontId="8" fillId="0" borderId="37" xfId="0" applyFont="1" applyBorder="1" applyAlignment="1">
      <alignment vertical="center"/>
    </xf>
    <xf numFmtId="10" fontId="13" fillId="0" borderId="1" xfId="0" applyNumberFormat="1" applyFont="1" applyBorder="1" applyAlignment="1">
      <alignment horizontal="center" vertical="center" wrapText="1"/>
    </xf>
    <xf numFmtId="10" fontId="18" fillId="5" borderId="1" xfId="0" applyNumberFormat="1" applyFont="1" applyFill="1" applyBorder="1" applyAlignment="1">
      <alignment horizontal="right" vertical="center"/>
    </xf>
    <xf numFmtId="164" fontId="13" fillId="3" borderId="23" xfId="0" applyNumberFormat="1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164" fontId="13" fillId="0" borderId="49" xfId="0" applyNumberFormat="1" applyFont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right" vertical="center" wrapText="1"/>
    </xf>
    <xf numFmtId="0" fontId="18" fillId="6" borderId="1" xfId="0" applyFont="1" applyFill="1" applyBorder="1" applyAlignment="1">
      <alignment horizontal="center" vertical="center" wrapText="1"/>
    </xf>
    <xf numFmtId="10" fontId="21" fillId="6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right" vertical="center" wrapText="1"/>
    </xf>
    <xf numFmtId="164" fontId="24" fillId="5" borderId="1" xfId="0" applyNumberFormat="1" applyFont="1" applyFill="1" applyBorder="1" applyAlignment="1">
      <alignment vertical="center"/>
    </xf>
    <xf numFmtId="164" fontId="23" fillId="5" borderId="1" xfId="0" applyNumberFormat="1" applyFont="1" applyFill="1" applyBorder="1" applyAlignment="1">
      <alignment vertical="center"/>
    </xf>
    <xf numFmtId="4" fontId="25" fillId="5" borderId="1" xfId="0" applyNumberFormat="1" applyFont="1" applyFill="1" applyBorder="1" applyAlignment="1">
      <alignment horizontal="right" vertical="center"/>
    </xf>
    <xf numFmtId="4" fontId="19" fillId="5" borderId="1" xfId="0" applyNumberFormat="1" applyFont="1" applyFill="1" applyBorder="1" applyAlignment="1">
      <alignment vertical="center"/>
    </xf>
    <xf numFmtId="171" fontId="35" fillId="0" borderId="5" xfId="0" applyNumberFormat="1" applyFont="1" applyBorder="1" applyAlignment="1">
      <alignment horizontal="center" vertical="center" wrapText="1"/>
    </xf>
    <xf numFmtId="171" fontId="10" fillId="0" borderId="1" xfId="0" applyNumberFormat="1" applyFont="1" applyBorder="1" applyAlignment="1">
      <alignment horizontal="center" vertical="center" wrapText="1"/>
    </xf>
    <xf numFmtId="171" fontId="1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1" fontId="35" fillId="0" borderId="27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28" xfId="0" applyFont="1" applyBorder="1" applyAlignment="1">
      <alignment vertical="center"/>
    </xf>
    <xf numFmtId="171" fontId="37" fillId="0" borderId="27" xfId="0" applyNumberFormat="1" applyFont="1" applyBorder="1" applyAlignment="1">
      <alignment horizontal="center" vertical="top" wrapText="1"/>
    </xf>
    <xf numFmtId="0" fontId="8" fillId="0" borderId="91" xfId="0" applyFont="1" applyBorder="1" applyAlignment="1">
      <alignment vertical="center"/>
    </xf>
    <xf numFmtId="0" fontId="8" fillId="0" borderId="92" xfId="0" applyFont="1" applyBorder="1" applyAlignment="1">
      <alignment vertical="center"/>
    </xf>
    <xf numFmtId="0" fontId="8" fillId="0" borderId="9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170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71" fontId="36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0" fontId="17" fillId="0" borderId="1" xfId="0" applyNumberFormat="1" applyFont="1" applyBorder="1" applyAlignment="1">
      <alignment horizontal="center" vertical="center" wrapText="1"/>
    </xf>
    <xf numFmtId="164" fontId="19" fillId="5" borderId="72" xfId="0" applyNumberFormat="1" applyFont="1" applyFill="1" applyBorder="1" applyAlignment="1">
      <alignment horizontal="right" vertical="center"/>
    </xf>
    <xf numFmtId="0" fontId="8" fillId="0" borderId="73" xfId="0" applyFont="1" applyBorder="1" applyAlignment="1">
      <alignment vertical="center"/>
    </xf>
    <xf numFmtId="0" fontId="8" fillId="0" borderId="74" xfId="0" applyFont="1" applyBorder="1" applyAlignment="1">
      <alignment vertical="center"/>
    </xf>
    <xf numFmtId="164" fontId="28" fillId="5" borderId="1" xfId="0" applyNumberFormat="1" applyFont="1" applyFill="1" applyBorder="1" applyAlignment="1">
      <alignment vertical="center"/>
    </xf>
    <xf numFmtId="164" fontId="27" fillId="5" borderId="1" xfId="0" applyNumberFormat="1" applyFont="1" applyFill="1" applyBorder="1" applyAlignment="1">
      <alignment vertical="center"/>
    </xf>
    <xf numFmtId="4" fontId="7" fillId="7" borderId="1" xfId="0" applyNumberFormat="1" applyFont="1" applyFill="1" applyBorder="1" applyAlignment="1">
      <alignment vertical="center"/>
    </xf>
    <xf numFmtId="4" fontId="32" fillId="7" borderId="1" xfId="0" applyNumberFormat="1" applyFont="1" applyFill="1" applyBorder="1" applyAlignment="1">
      <alignment horizontal="right" vertical="center"/>
    </xf>
    <xf numFmtId="164" fontId="28" fillId="5" borderId="1" xfId="0" applyNumberFormat="1" applyFont="1" applyFill="1" applyBorder="1" applyAlignment="1">
      <alignment horizontal="right" vertical="center"/>
    </xf>
    <xf numFmtId="4" fontId="19" fillId="5" borderId="53" xfId="0" applyNumberFormat="1" applyFont="1" applyFill="1" applyBorder="1" applyAlignment="1">
      <alignment horizontal="right" vertical="center"/>
    </xf>
    <xf numFmtId="0" fontId="8" fillId="0" borderId="54" xfId="0" applyFont="1" applyBorder="1" applyAlignment="1">
      <alignment vertical="center"/>
    </xf>
    <xf numFmtId="0" fontId="8" fillId="0" borderId="55" xfId="0" applyFont="1" applyBorder="1" applyAlignment="1">
      <alignment vertical="center"/>
    </xf>
    <xf numFmtId="164" fontId="19" fillId="5" borderId="53" xfId="0" applyNumberFormat="1" applyFont="1" applyFill="1" applyBorder="1" applyAlignment="1">
      <alignment horizontal="right" vertical="center"/>
    </xf>
    <xf numFmtId="0" fontId="7" fillId="7" borderId="82" xfId="0" applyFont="1" applyFill="1" applyBorder="1" applyAlignment="1">
      <alignment horizontal="right" vertical="center"/>
    </xf>
    <xf numFmtId="0" fontId="8" fillId="0" borderId="61" xfId="0" applyFont="1" applyBorder="1" applyAlignment="1">
      <alignment vertical="center"/>
    </xf>
    <xf numFmtId="0" fontId="8" fillId="0" borderId="83" xfId="0" applyFont="1" applyBorder="1" applyAlignment="1">
      <alignment vertical="center"/>
    </xf>
    <xf numFmtId="171" fontId="34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952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'GENERAL SCHED INternal DCI'!$BF$190:$CR$190</c:f>
              <c:numCache>
                <c:formatCode>0.000%</c:formatCode>
                <c:ptCount val="31"/>
                <c:pt idx="0">
                  <c:v>0</c:v>
                </c:pt>
                <c:pt idx="1">
                  <c:v>7.1774609303677898E-3</c:v>
                </c:pt>
                <c:pt idx="2">
                  <c:v>1.4677010877498642E-2</c:v>
                </c:pt>
                <c:pt idx="3">
                  <c:v>3.1097523024296733E-2</c:v>
                </c:pt>
                <c:pt idx="4">
                  <c:v>4.539043165682892E-2</c:v>
                </c:pt>
                <c:pt idx="5">
                  <c:v>5.7703397813951354E-2</c:v>
                </c:pt>
                <c:pt idx="6">
                  <c:v>7.0868381754332452E-2</c:v>
                </c:pt>
                <c:pt idx="7">
                  <c:v>8.7052419452654614E-2</c:v>
                </c:pt>
                <c:pt idx="8">
                  <c:v>0.11266855626751826</c:v>
                </c:pt>
                <c:pt idx="9">
                  <c:v>0.12879901450242021</c:v>
                </c:pt>
                <c:pt idx="10">
                  <c:v>0.14513272859298082</c:v>
                </c:pt>
                <c:pt idx="11">
                  <c:v>0.16146644268354143</c:v>
                </c:pt>
                <c:pt idx="12">
                  <c:v>0.18732275751079372</c:v>
                </c:pt>
                <c:pt idx="13">
                  <c:v>0.21569008272575735</c:v>
                </c:pt>
                <c:pt idx="14">
                  <c:v>0.22844571821925702</c:v>
                </c:pt>
                <c:pt idx="15">
                  <c:v>0.25786736966047519</c:v>
                </c:pt>
                <c:pt idx="16">
                  <c:v>0.28483878600217838</c:v>
                </c:pt>
                <c:pt idx="17">
                  <c:v>0.33640343726030353</c:v>
                </c:pt>
                <c:pt idx="18">
                  <c:v>0.35600710243307965</c:v>
                </c:pt>
                <c:pt idx="19">
                  <c:v>0.38345473470006969</c:v>
                </c:pt>
                <c:pt idx="20">
                  <c:v>0.41090236696705973</c:v>
                </c:pt>
                <c:pt idx="21">
                  <c:v>0.44521095435886943</c:v>
                </c:pt>
                <c:pt idx="22">
                  <c:v>0.47771828925941656</c:v>
                </c:pt>
                <c:pt idx="23">
                  <c:v>0.51040429834452361</c:v>
                </c:pt>
                <c:pt idx="24">
                  <c:v>0.55320027359828305</c:v>
                </c:pt>
                <c:pt idx="25">
                  <c:v>0.61114551892308366</c:v>
                </c:pt>
                <c:pt idx="26">
                  <c:v>0.64932092559662602</c:v>
                </c:pt>
                <c:pt idx="27">
                  <c:v>0.68749633227016838</c:v>
                </c:pt>
                <c:pt idx="28">
                  <c:v>0.72918860872148716</c:v>
                </c:pt>
                <c:pt idx="29">
                  <c:v>0.77482059949748194</c:v>
                </c:pt>
                <c:pt idx="30">
                  <c:v>0.81386148226202981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2C-46A2-9869-D74B9BD1F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51134"/>
        <c:axId val="1886896939"/>
      </c:lineChart>
      <c:catAx>
        <c:axId val="196511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6896939"/>
        <c:crosses val="autoZero"/>
        <c:auto val="1"/>
        <c:lblAlgn val="ctr"/>
        <c:lblOffset val="100"/>
        <c:noMultiLvlLbl val="1"/>
      </c:catAx>
      <c:valAx>
        <c:axId val="18868969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51134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52</xdr:col>
      <xdr:colOff>333375</xdr:colOff>
      <xdr:row>15</xdr:row>
      <xdr:rowOff>123825</xdr:rowOff>
    </xdr:from>
    <xdr:ext cx="17516475" cy="17916525"/>
    <xdr:graphicFrame macro="">
      <xdr:nvGraphicFramePr>
        <xdr:cNvPr id="1462937421" name="Chart 1" descr="Chart 0" title="Chart">
          <a:extLst>
            <a:ext uri="{FF2B5EF4-FFF2-40B4-BE49-F238E27FC236}">
              <a16:creationId xmlns:a16="http://schemas.microsoft.com/office/drawing/2014/main" id="{00000000-0008-0000-0000-00004DA73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-19050</xdr:colOff>
      <xdr:row>19</xdr:row>
      <xdr:rowOff>161925</xdr:rowOff>
    </xdr:from>
    <xdr:ext cx="38100" cy="209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346000" y="3675225"/>
          <a:ext cx="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36</xdr:col>
      <xdr:colOff>609600</xdr:colOff>
      <xdr:row>103</xdr:row>
      <xdr:rowOff>9525</xdr:rowOff>
    </xdr:from>
    <xdr:ext cx="1295400" cy="142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5359743" y="9897382"/>
          <a:ext cx="1295400" cy="142875"/>
          <a:chOff x="4698300" y="3780000"/>
          <a:chExt cx="129540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4698300" y="3780000"/>
            <a:ext cx="129540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40</xdr:col>
      <xdr:colOff>9525</xdr:colOff>
      <xdr:row>131</xdr:row>
      <xdr:rowOff>9525</xdr:rowOff>
    </xdr:from>
    <xdr:ext cx="4143375" cy="142875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16315418" y="12754882"/>
          <a:ext cx="4143375" cy="142875"/>
          <a:chOff x="3274313" y="3780000"/>
          <a:chExt cx="414337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>
            <a:off x="3274313" y="3780000"/>
            <a:ext cx="4143375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39</xdr:col>
      <xdr:colOff>0</xdr:colOff>
      <xdr:row>101</xdr:row>
      <xdr:rowOff>9525</xdr:rowOff>
    </xdr:from>
    <xdr:ext cx="2286000" cy="142875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15988393" y="9693275"/>
          <a:ext cx="2286000" cy="142875"/>
          <a:chOff x="4203000" y="3780000"/>
          <a:chExt cx="228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CxnSpPr/>
        </xdr:nvCxnSpPr>
        <xdr:spPr>
          <a:xfrm>
            <a:off x="4203000" y="3780000"/>
            <a:ext cx="228600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15</xdr:col>
      <xdr:colOff>47625</xdr:colOff>
      <xdr:row>18</xdr:row>
      <xdr:rowOff>38100</xdr:rowOff>
    </xdr:from>
    <xdr:ext cx="866775" cy="142875"/>
    <xdr:grpSp>
      <xdr:nvGrpSpPr>
        <xdr:cNvPr id="9" name="Shape 2" title="Drawi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8597446" y="3326493"/>
          <a:ext cx="866775" cy="142875"/>
          <a:chOff x="4912613" y="3780000"/>
          <a:chExt cx="866775" cy="0"/>
        </a:xfrm>
      </xdr:grpSpPr>
      <xdr:cxnSp macro="">
        <xdr:nvCxnSpPr>
          <xdr:cNvPr id="10" name="Shape 7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/>
        </xdr:nvCxnSpPr>
        <xdr:spPr>
          <a:xfrm>
            <a:off x="4912613" y="3780000"/>
            <a:ext cx="866775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21</xdr:col>
      <xdr:colOff>0</xdr:colOff>
      <xdr:row>39</xdr:row>
      <xdr:rowOff>0</xdr:rowOff>
    </xdr:from>
    <xdr:ext cx="2286000" cy="1428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10273393" y="5397500"/>
          <a:ext cx="2286000" cy="142875"/>
          <a:chOff x="4203000" y="3780000"/>
          <a:chExt cx="228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CxnSpPr/>
        </xdr:nvCxnSpPr>
        <xdr:spPr>
          <a:xfrm>
            <a:off x="4203000" y="3780000"/>
            <a:ext cx="228600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17</xdr:col>
      <xdr:colOff>142875</xdr:colOff>
      <xdr:row>45</xdr:row>
      <xdr:rowOff>9525</xdr:rowOff>
    </xdr:from>
    <xdr:ext cx="2181225" cy="142875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9418411" y="6019346"/>
          <a:ext cx="2181225" cy="142875"/>
          <a:chOff x="4255388" y="3780000"/>
          <a:chExt cx="2181225" cy="0"/>
        </a:xfrm>
      </xdr:grpSpPr>
      <xdr:cxnSp macro="">
        <xdr:nvCxnSpPr>
          <xdr:cNvPr id="14" name="Shape 8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CxnSpPr/>
        </xdr:nvCxnSpPr>
        <xdr:spPr>
          <a:xfrm>
            <a:off x="4255388" y="3780000"/>
            <a:ext cx="2181225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21</xdr:col>
      <xdr:colOff>361950</xdr:colOff>
      <xdr:row>47</xdr:row>
      <xdr:rowOff>0</xdr:rowOff>
    </xdr:from>
    <xdr:ext cx="1924050" cy="142875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10597243" y="6213929"/>
          <a:ext cx="1924050" cy="142875"/>
          <a:chOff x="4383975" y="3775238"/>
          <a:chExt cx="1924050" cy="9525"/>
        </a:xfrm>
      </xdr:grpSpPr>
      <xdr:cxnSp macro="">
        <xdr:nvCxnSpPr>
          <xdr:cNvPr id="16" name="Shape 9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CxnSpPr/>
        </xdr:nvCxnSpPr>
        <xdr:spPr>
          <a:xfrm rot="10800000" flipH="1">
            <a:off x="4383975" y="3775238"/>
            <a:ext cx="1924050" cy="9525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27</xdr:col>
      <xdr:colOff>0</xdr:colOff>
      <xdr:row>51</xdr:row>
      <xdr:rowOff>9525</xdr:rowOff>
    </xdr:from>
    <xdr:ext cx="762000" cy="142875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12178393" y="6631668"/>
          <a:ext cx="762000" cy="142875"/>
          <a:chOff x="4965000" y="3780000"/>
          <a:chExt cx="762000" cy="0"/>
        </a:xfrm>
      </xdr:grpSpPr>
      <xdr:cxnSp macro="">
        <xdr:nvCxnSpPr>
          <xdr:cNvPr id="18" name="Shape 10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CxnSpPr/>
        </xdr:nvCxnSpPr>
        <xdr:spPr>
          <a:xfrm>
            <a:off x="4965000" y="3780000"/>
            <a:ext cx="76200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22</xdr:col>
      <xdr:colOff>9525</xdr:colOff>
      <xdr:row>59</xdr:row>
      <xdr:rowOff>9525</xdr:rowOff>
    </xdr:from>
    <xdr:ext cx="2276475" cy="142875"/>
    <xdr:grpSp>
      <xdr:nvGrpSpPr>
        <xdr:cNvPr id="19" name="Shape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10600418" y="7438571"/>
          <a:ext cx="2276475" cy="142875"/>
          <a:chOff x="4207763" y="3780000"/>
          <a:chExt cx="2276475" cy="0"/>
        </a:xfrm>
      </xdr:grpSpPr>
      <xdr:cxnSp macro="">
        <xdr:nvCxnSpPr>
          <xdr:cNvPr id="20" name="Shape 11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CxnSpPr/>
        </xdr:nvCxnSpPr>
        <xdr:spPr>
          <a:xfrm>
            <a:off x="4207763" y="3780000"/>
            <a:ext cx="2276475" cy="0"/>
          </a:xfrm>
          <a:prstGeom prst="straightConnector1">
            <a:avLst/>
          </a:prstGeom>
          <a:noFill/>
          <a:ln w="149225" cap="flat" cmpd="sng">
            <a:solidFill>
              <a:srgbClr val="0066FF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24</xdr:col>
      <xdr:colOff>0</xdr:colOff>
      <xdr:row>61</xdr:row>
      <xdr:rowOff>9525</xdr:rowOff>
    </xdr:from>
    <xdr:ext cx="1733550" cy="142875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11225893" y="7438571"/>
          <a:ext cx="1733550" cy="142875"/>
          <a:chOff x="4479225" y="3780000"/>
          <a:chExt cx="1733550" cy="0"/>
        </a:xfrm>
      </xdr:grpSpPr>
      <xdr:cxnSp macro="">
        <xdr:nvCxnSpPr>
          <xdr:cNvPr id="22" name="Shape 1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CxnSpPr/>
        </xdr:nvCxnSpPr>
        <xdr:spPr>
          <a:xfrm>
            <a:off x="4479225" y="3780000"/>
            <a:ext cx="1733550" cy="0"/>
          </a:xfrm>
          <a:prstGeom prst="straightConnector1">
            <a:avLst/>
          </a:prstGeom>
          <a:noFill/>
          <a:ln w="149225" cap="flat" cmpd="sng">
            <a:solidFill>
              <a:srgbClr val="0066FF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26</xdr:col>
      <xdr:colOff>0</xdr:colOff>
      <xdr:row>63</xdr:row>
      <xdr:rowOff>9525</xdr:rowOff>
    </xdr:from>
    <xdr:ext cx="3267075" cy="1428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11860893" y="7438571"/>
          <a:ext cx="3267075" cy="142875"/>
          <a:chOff x="3712463" y="3780000"/>
          <a:chExt cx="3267075" cy="0"/>
        </a:xfrm>
      </xdr:grpSpPr>
      <xdr:cxnSp macro="">
        <xdr:nvCxnSpPr>
          <xdr:cNvPr id="24" name="Shape 1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CxnSpPr/>
        </xdr:nvCxnSpPr>
        <xdr:spPr>
          <a:xfrm>
            <a:off x="3712463" y="3780000"/>
            <a:ext cx="3267075" cy="0"/>
          </a:xfrm>
          <a:prstGeom prst="straightConnector1">
            <a:avLst/>
          </a:prstGeom>
          <a:noFill/>
          <a:ln w="149225" cap="flat" cmpd="sng">
            <a:solidFill>
              <a:srgbClr val="0066FF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28</xdr:col>
      <xdr:colOff>0</xdr:colOff>
      <xdr:row>65</xdr:row>
      <xdr:rowOff>9525</xdr:rowOff>
    </xdr:from>
    <xdr:ext cx="2667000" cy="142875"/>
    <xdr:grpSp>
      <xdr:nvGrpSpPr>
        <xdr:cNvPr id="25" name="Shape 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12495893" y="7438571"/>
          <a:ext cx="2667000" cy="142875"/>
          <a:chOff x="4012500" y="3780000"/>
          <a:chExt cx="2667000" cy="0"/>
        </a:xfrm>
      </xdr:grpSpPr>
      <xdr:cxnSp macro="">
        <xdr:nvCxnSpPr>
          <xdr:cNvPr id="26" name="Shape 14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CxnSpPr/>
        </xdr:nvCxnSpPr>
        <xdr:spPr>
          <a:xfrm>
            <a:off x="4012500" y="3780000"/>
            <a:ext cx="2667000" cy="0"/>
          </a:xfrm>
          <a:prstGeom prst="straightConnector1">
            <a:avLst/>
          </a:prstGeom>
          <a:noFill/>
          <a:ln w="149225" cap="flat" cmpd="sng">
            <a:solidFill>
              <a:srgbClr val="0066FF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30</xdr:col>
      <xdr:colOff>0</xdr:colOff>
      <xdr:row>67</xdr:row>
      <xdr:rowOff>9525</xdr:rowOff>
    </xdr:from>
    <xdr:ext cx="2095500" cy="142875"/>
    <xdr:grpSp>
      <xdr:nvGrpSpPr>
        <xdr:cNvPr id="27" name="Shape 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13130893" y="7438571"/>
          <a:ext cx="2095500" cy="142875"/>
          <a:chOff x="4298250" y="3780000"/>
          <a:chExt cx="2095500" cy="0"/>
        </a:xfrm>
      </xdr:grpSpPr>
      <xdr:cxnSp macro="">
        <xdr:nvCxnSpPr>
          <xdr:cNvPr id="28" name="Shape 15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CxnSpPr/>
        </xdr:nvCxnSpPr>
        <xdr:spPr>
          <a:xfrm>
            <a:off x="4298250" y="3780000"/>
            <a:ext cx="2095500" cy="0"/>
          </a:xfrm>
          <a:prstGeom prst="straightConnector1">
            <a:avLst/>
          </a:prstGeom>
          <a:noFill/>
          <a:ln w="149225" cap="flat" cmpd="sng">
            <a:solidFill>
              <a:srgbClr val="0066FF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33</xdr:col>
      <xdr:colOff>19050</xdr:colOff>
      <xdr:row>69</xdr:row>
      <xdr:rowOff>9525</xdr:rowOff>
    </xdr:from>
    <xdr:ext cx="3200400" cy="1428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14102443" y="7438571"/>
          <a:ext cx="3200400" cy="142875"/>
          <a:chOff x="3745800" y="3780000"/>
          <a:chExt cx="3200400" cy="0"/>
        </a:xfrm>
      </xdr:grpSpPr>
      <xdr:cxnSp macro="">
        <xdr:nvCxnSpPr>
          <xdr:cNvPr id="30" name="Shape 16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CxnSpPr/>
        </xdr:nvCxnSpPr>
        <xdr:spPr>
          <a:xfrm>
            <a:off x="3745800" y="3780000"/>
            <a:ext cx="3200400" cy="0"/>
          </a:xfrm>
          <a:prstGeom prst="straightConnector1">
            <a:avLst/>
          </a:prstGeom>
          <a:noFill/>
          <a:ln w="149225" cap="flat" cmpd="sng">
            <a:solidFill>
              <a:srgbClr val="0066FF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37</xdr:col>
      <xdr:colOff>0</xdr:colOff>
      <xdr:row>73</xdr:row>
      <xdr:rowOff>9525</xdr:rowOff>
    </xdr:from>
    <xdr:ext cx="2124075" cy="142875"/>
    <xdr:grpSp>
      <xdr:nvGrpSpPr>
        <xdr:cNvPr id="31" name="Shape 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/>
      </xdr:nvGrpSpPr>
      <xdr:grpSpPr>
        <a:xfrm>
          <a:off x="15353393" y="7438571"/>
          <a:ext cx="2124075" cy="142875"/>
          <a:chOff x="4283963" y="3780000"/>
          <a:chExt cx="2124075" cy="0"/>
        </a:xfrm>
      </xdr:grpSpPr>
      <xdr:cxnSp macro="">
        <xdr:nvCxnSpPr>
          <xdr:cNvPr id="32" name="Shape 17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CxnSpPr/>
        </xdr:nvCxnSpPr>
        <xdr:spPr>
          <a:xfrm>
            <a:off x="4283963" y="3780000"/>
            <a:ext cx="2124075" cy="0"/>
          </a:xfrm>
          <a:prstGeom prst="straightConnector1">
            <a:avLst/>
          </a:prstGeom>
          <a:noFill/>
          <a:ln w="149225" cap="flat" cmpd="sng">
            <a:solidFill>
              <a:srgbClr val="0066FF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35</xdr:col>
      <xdr:colOff>0</xdr:colOff>
      <xdr:row>71</xdr:row>
      <xdr:rowOff>9525</xdr:rowOff>
    </xdr:from>
    <xdr:ext cx="2667000" cy="142875"/>
    <xdr:grpSp>
      <xdr:nvGrpSpPr>
        <xdr:cNvPr id="33" name="Shape 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pSpPr/>
      </xdr:nvGrpSpPr>
      <xdr:grpSpPr>
        <a:xfrm>
          <a:off x="14718393" y="7438571"/>
          <a:ext cx="2667000" cy="142875"/>
          <a:chOff x="4012500" y="3780000"/>
          <a:chExt cx="2667000" cy="0"/>
        </a:xfrm>
      </xdr:grpSpPr>
      <xdr:cxnSp macro="">
        <xdr:nvCxnSpPr>
          <xdr:cNvPr id="34" name="Shape 1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CxnSpPr/>
        </xdr:nvCxnSpPr>
        <xdr:spPr>
          <a:xfrm>
            <a:off x="4012500" y="3780000"/>
            <a:ext cx="2667000" cy="0"/>
          </a:xfrm>
          <a:prstGeom prst="straightConnector1">
            <a:avLst/>
          </a:prstGeom>
          <a:noFill/>
          <a:ln w="149225" cap="flat" cmpd="sng">
            <a:solidFill>
              <a:srgbClr val="0066FF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38</xdr:col>
      <xdr:colOff>9525</xdr:colOff>
      <xdr:row>75</xdr:row>
      <xdr:rowOff>9525</xdr:rowOff>
    </xdr:from>
    <xdr:ext cx="1943100" cy="142875"/>
    <xdr:grpSp>
      <xdr:nvGrpSpPr>
        <xdr:cNvPr id="35" name="Shape 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15680418" y="7438571"/>
          <a:ext cx="1943100" cy="142875"/>
          <a:chOff x="4374450" y="3780000"/>
          <a:chExt cx="1943100" cy="0"/>
        </a:xfrm>
      </xdr:grpSpPr>
      <xdr:cxnSp macro="">
        <xdr:nvCxnSpPr>
          <xdr:cNvPr id="36" name="Shape 18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CxnSpPr/>
        </xdr:nvCxnSpPr>
        <xdr:spPr>
          <a:xfrm>
            <a:off x="4374450" y="3780000"/>
            <a:ext cx="1943100" cy="0"/>
          </a:xfrm>
          <a:prstGeom prst="straightConnector1">
            <a:avLst/>
          </a:prstGeom>
          <a:noFill/>
          <a:ln w="149225" cap="flat" cmpd="sng">
            <a:solidFill>
              <a:srgbClr val="0066FF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40</xdr:col>
      <xdr:colOff>361950</xdr:colOff>
      <xdr:row>77</xdr:row>
      <xdr:rowOff>9525</xdr:rowOff>
    </xdr:from>
    <xdr:ext cx="1695450" cy="142875"/>
    <xdr:grpSp>
      <xdr:nvGrpSpPr>
        <xdr:cNvPr id="37" name="Shape 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pSpPr/>
      </xdr:nvGrpSpPr>
      <xdr:grpSpPr>
        <a:xfrm>
          <a:off x="16629743" y="7438571"/>
          <a:ext cx="1695450" cy="142875"/>
          <a:chOff x="4498275" y="3780000"/>
          <a:chExt cx="1695450" cy="0"/>
        </a:xfrm>
      </xdr:grpSpPr>
      <xdr:cxnSp macro="">
        <xdr:nvCxnSpPr>
          <xdr:cNvPr id="38" name="Shape 19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CxnSpPr/>
        </xdr:nvCxnSpPr>
        <xdr:spPr>
          <a:xfrm>
            <a:off x="4498275" y="3780000"/>
            <a:ext cx="1695450" cy="0"/>
          </a:xfrm>
          <a:prstGeom prst="straightConnector1">
            <a:avLst/>
          </a:prstGeom>
          <a:noFill/>
          <a:ln w="149225" cap="flat" cmpd="sng">
            <a:solidFill>
              <a:srgbClr val="0066FF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39</xdr:col>
      <xdr:colOff>609600</xdr:colOff>
      <xdr:row>137</xdr:row>
      <xdr:rowOff>9525</xdr:rowOff>
    </xdr:from>
    <xdr:ext cx="4305300" cy="142875"/>
    <xdr:grpSp>
      <xdr:nvGrpSpPr>
        <xdr:cNvPr id="39" name="Shape 2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16312243" y="13367204"/>
          <a:ext cx="4305300" cy="142875"/>
          <a:chOff x="3193350" y="3780000"/>
          <a:chExt cx="4305300" cy="0"/>
        </a:xfrm>
      </xdr:grpSpPr>
      <xdr:cxnSp macro="">
        <xdr:nvCxnSpPr>
          <xdr:cNvPr id="40" name="Shape 2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CxnSpPr/>
        </xdr:nvCxnSpPr>
        <xdr:spPr>
          <a:xfrm>
            <a:off x="3193350" y="3780000"/>
            <a:ext cx="430530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36</xdr:col>
      <xdr:colOff>0</xdr:colOff>
      <xdr:row>135</xdr:row>
      <xdr:rowOff>9525</xdr:rowOff>
    </xdr:from>
    <xdr:ext cx="5715000" cy="142875"/>
    <xdr:grpSp>
      <xdr:nvGrpSpPr>
        <xdr:cNvPr id="41" name="Shape 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15035893" y="13163096"/>
          <a:ext cx="5715000" cy="142875"/>
          <a:chOff x="2488500" y="3780000"/>
          <a:chExt cx="5715000" cy="0"/>
        </a:xfrm>
      </xdr:grpSpPr>
      <xdr:cxnSp macro="">
        <xdr:nvCxnSpPr>
          <xdr:cNvPr id="42" name="Shape 2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CxnSpPr/>
        </xdr:nvCxnSpPr>
        <xdr:spPr>
          <a:xfrm>
            <a:off x="2488500" y="3780000"/>
            <a:ext cx="571500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45</xdr:col>
      <xdr:colOff>9525</xdr:colOff>
      <xdr:row>139</xdr:row>
      <xdr:rowOff>9525</xdr:rowOff>
    </xdr:from>
    <xdr:ext cx="2876550" cy="142875"/>
    <xdr:grpSp>
      <xdr:nvGrpSpPr>
        <xdr:cNvPr id="43" name="Shape 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17902918" y="13571311"/>
          <a:ext cx="2876550" cy="142875"/>
          <a:chOff x="3907725" y="3780000"/>
          <a:chExt cx="2876550" cy="0"/>
        </a:xfrm>
      </xdr:grpSpPr>
      <xdr:cxnSp macro="">
        <xdr:nvCxnSpPr>
          <xdr:cNvPr id="44" name="Shape 22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CxnSpPr/>
        </xdr:nvCxnSpPr>
        <xdr:spPr>
          <a:xfrm>
            <a:off x="3907725" y="3780000"/>
            <a:ext cx="287655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41</xdr:col>
      <xdr:colOff>0</xdr:colOff>
      <xdr:row>143</xdr:row>
      <xdr:rowOff>0</xdr:rowOff>
    </xdr:from>
    <xdr:ext cx="2286000" cy="142875"/>
    <xdr:grpSp>
      <xdr:nvGrpSpPr>
        <xdr:cNvPr id="45" name="Shape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pSpPr/>
      </xdr:nvGrpSpPr>
      <xdr:grpSpPr>
        <a:xfrm rot="21391208">
          <a:off x="16623393" y="13970000"/>
          <a:ext cx="2286000" cy="142875"/>
          <a:chOff x="4203000" y="3775238"/>
          <a:chExt cx="2286000" cy="9525"/>
        </a:xfrm>
      </xdr:grpSpPr>
      <xdr:cxnSp macro="">
        <xdr:nvCxnSpPr>
          <xdr:cNvPr id="46" name="Shape 23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CxnSpPr/>
        </xdr:nvCxnSpPr>
        <xdr:spPr>
          <a:xfrm>
            <a:off x="4203000" y="3775238"/>
            <a:ext cx="2286000" cy="9525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54</xdr:col>
      <xdr:colOff>0</xdr:colOff>
      <xdr:row>18</xdr:row>
      <xdr:rowOff>9525</xdr:rowOff>
    </xdr:from>
    <xdr:ext cx="38100" cy="17259300"/>
    <xdr:grpSp>
      <xdr:nvGrpSpPr>
        <xdr:cNvPr id="47" name="Shape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20524107" y="3297918"/>
          <a:ext cx="38100" cy="17259300"/>
          <a:chOff x="-3283650" y="3780000"/>
          <a:chExt cx="17259300" cy="0"/>
        </a:xfrm>
      </xdr:grpSpPr>
      <xdr:cxnSp macro="">
        <xdr:nvCxnSpPr>
          <xdr:cNvPr id="48" name="Shape 24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CxnSpPr/>
        </xdr:nvCxnSpPr>
        <xdr:spPr>
          <a:xfrm rot="5400000">
            <a:off x="-3283650" y="3780000"/>
            <a:ext cx="17259300" cy="0"/>
          </a:xfrm>
          <a:prstGeom prst="straightConnector1">
            <a:avLst/>
          </a:prstGeom>
          <a:noFill/>
          <a:ln w="12700" cap="flat" cmpd="sng">
            <a:solidFill>
              <a:srgbClr val="00B05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17</xdr:col>
      <xdr:colOff>104775</xdr:colOff>
      <xdr:row>16</xdr:row>
      <xdr:rowOff>161925</xdr:rowOff>
    </xdr:from>
    <xdr:ext cx="38100" cy="17468850"/>
    <xdr:grpSp>
      <xdr:nvGrpSpPr>
        <xdr:cNvPr id="49" name="Shape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>
          <a:off x="9380311" y="3132818"/>
          <a:ext cx="38100" cy="17468850"/>
          <a:chOff x="-3388425" y="3777086"/>
          <a:chExt cx="17468850" cy="5830"/>
        </a:xfrm>
      </xdr:grpSpPr>
      <xdr:cxnSp macro="">
        <xdr:nvCxnSpPr>
          <xdr:cNvPr id="50" name="Shape 25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CxnSpPr/>
        </xdr:nvCxnSpPr>
        <xdr:spPr>
          <a:xfrm rot="5400000">
            <a:off x="-3388425" y="3777086"/>
            <a:ext cx="17468850" cy="5830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54</xdr:col>
      <xdr:colOff>0</xdr:colOff>
      <xdr:row>46</xdr:row>
      <xdr:rowOff>9525</xdr:rowOff>
    </xdr:from>
    <xdr:ext cx="38100" cy="19707225"/>
    <xdr:grpSp>
      <xdr:nvGrpSpPr>
        <xdr:cNvPr id="51" name="Shape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pSpPr/>
      </xdr:nvGrpSpPr>
      <xdr:grpSpPr>
        <a:xfrm>
          <a:off x="20524107" y="6178096"/>
          <a:ext cx="38100" cy="19707225"/>
          <a:chOff x="-4507612" y="3780000"/>
          <a:chExt cx="19707225" cy="0"/>
        </a:xfrm>
      </xdr:grpSpPr>
      <xdr:cxnSp macro="">
        <xdr:nvCxnSpPr>
          <xdr:cNvPr id="52" name="Shape 26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CxnSpPr/>
        </xdr:nvCxnSpPr>
        <xdr:spPr>
          <a:xfrm rot="5400000">
            <a:off x="-4507612" y="3780000"/>
            <a:ext cx="19707225" cy="0"/>
          </a:xfrm>
          <a:prstGeom prst="straightConnector1">
            <a:avLst/>
          </a:prstGeom>
          <a:noFill/>
          <a:ln w="12700" cap="flat" cmpd="sng">
            <a:solidFill>
              <a:srgbClr val="00B05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54</xdr:col>
      <xdr:colOff>0</xdr:colOff>
      <xdr:row>46</xdr:row>
      <xdr:rowOff>9525</xdr:rowOff>
    </xdr:from>
    <xdr:ext cx="38100" cy="19707225"/>
    <xdr:grpSp>
      <xdr:nvGrpSpPr>
        <xdr:cNvPr id="53" name="Shape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20524107" y="6178096"/>
          <a:ext cx="38100" cy="19707225"/>
          <a:chOff x="-4507612" y="3780000"/>
          <a:chExt cx="19707225" cy="0"/>
        </a:xfrm>
      </xdr:grpSpPr>
      <xdr:cxnSp macro="">
        <xdr:nvCxnSpPr>
          <xdr:cNvPr id="54" name="Shape 26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CxnSpPr/>
        </xdr:nvCxnSpPr>
        <xdr:spPr>
          <a:xfrm rot="5400000">
            <a:off x="-4507612" y="3780000"/>
            <a:ext cx="19707225" cy="0"/>
          </a:xfrm>
          <a:prstGeom prst="straightConnector1">
            <a:avLst/>
          </a:prstGeom>
          <a:noFill/>
          <a:ln w="12700" cap="flat" cmpd="sng">
            <a:solidFill>
              <a:srgbClr val="00B05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29</xdr:col>
      <xdr:colOff>0</xdr:colOff>
      <xdr:row>109</xdr:row>
      <xdr:rowOff>9525</xdr:rowOff>
    </xdr:from>
    <xdr:ext cx="5334000" cy="142875"/>
    <xdr:grpSp>
      <xdr:nvGrpSpPr>
        <xdr:cNvPr id="55" name="Shape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pSpPr/>
      </xdr:nvGrpSpPr>
      <xdr:grpSpPr>
        <a:xfrm>
          <a:off x="12813393" y="10509704"/>
          <a:ext cx="5334000" cy="142875"/>
          <a:chOff x="2679000" y="3780000"/>
          <a:chExt cx="5334000" cy="0"/>
        </a:xfrm>
      </xdr:grpSpPr>
      <xdr:cxnSp macro="">
        <xdr:nvCxnSpPr>
          <xdr:cNvPr id="56" name="Shape 27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CxnSpPr/>
        </xdr:nvCxnSpPr>
        <xdr:spPr>
          <a:xfrm>
            <a:off x="2679000" y="3780000"/>
            <a:ext cx="533400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46</xdr:col>
      <xdr:colOff>9525</xdr:colOff>
      <xdr:row>129</xdr:row>
      <xdr:rowOff>0</xdr:rowOff>
    </xdr:from>
    <xdr:ext cx="2228850" cy="142875"/>
    <xdr:grpSp>
      <xdr:nvGrpSpPr>
        <xdr:cNvPr id="57" name="Shape 2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18220418" y="12541250"/>
          <a:ext cx="2228850" cy="142875"/>
          <a:chOff x="4231575" y="3780000"/>
          <a:chExt cx="2228850" cy="0"/>
        </a:xfrm>
      </xdr:grpSpPr>
      <xdr:cxnSp macro="">
        <xdr:nvCxnSpPr>
          <xdr:cNvPr id="58" name="Shape 28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CxnSpPr/>
        </xdr:nvCxnSpPr>
        <xdr:spPr>
          <a:xfrm>
            <a:off x="4231575" y="3780000"/>
            <a:ext cx="222885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39</xdr:col>
      <xdr:colOff>600075</xdr:colOff>
      <xdr:row>119</xdr:row>
      <xdr:rowOff>9525</xdr:rowOff>
    </xdr:from>
    <xdr:ext cx="3971925" cy="142875"/>
    <xdr:grpSp>
      <xdr:nvGrpSpPr>
        <xdr:cNvPr id="59" name="Shape 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16312243" y="11530239"/>
          <a:ext cx="3971925" cy="142875"/>
          <a:chOff x="3360038" y="3780000"/>
          <a:chExt cx="3971925" cy="0"/>
        </a:xfrm>
      </xdr:grpSpPr>
      <xdr:cxnSp macro="">
        <xdr:nvCxnSpPr>
          <xdr:cNvPr id="60" name="Shape 2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CxnSpPr/>
        </xdr:nvCxnSpPr>
        <xdr:spPr>
          <a:xfrm>
            <a:off x="3360038" y="3780000"/>
            <a:ext cx="3971925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39</xdr:col>
      <xdr:colOff>600075</xdr:colOff>
      <xdr:row>121</xdr:row>
      <xdr:rowOff>9525</xdr:rowOff>
    </xdr:from>
    <xdr:ext cx="3971925" cy="142875"/>
    <xdr:grpSp>
      <xdr:nvGrpSpPr>
        <xdr:cNvPr id="61" name="Shape 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pSpPr/>
      </xdr:nvGrpSpPr>
      <xdr:grpSpPr>
        <a:xfrm>
          <a:off x="16312243" y="11734346"/>
          <a:ext cx="3971925" cy="142875"/>
          <a:chOff x="3360038" y="3780000"/>
          <a:chExt cx="3971925" cy="0"/>
        </a:xfrm>
      </xdr:grpSpPr>
      <xdr:cxnSp macro="">
        <xdr:nvCxnSpPr>
          <xdr:cNvPr id="62" name="Shape 29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CxnSpPr/>
        </xdr:nvCxnSpPr>
        <xdr:spPr>
          <a:xfrm>
            <a:off x="3360038" y="3780000"/>
            <a:ext cx="3971925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43</xdr:col>
      <xdr:colOff>9525</xdr:colOff>
      <xdr:row>145</xdr:row>
      <xdr:rowOff>0</xdr:rowOff>
    </xdr:from>
    <xdr:ext cx="1524000" cy="142875"/>
    <xdr:grpSp>
      <xdr:nvGrpSpPr>
        <xdr:cNvPr id="63" name="Shape 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/>
      </xdr:nvGrpSpPr>
      <xdr:grpSpPr>
        <a:xfrm>
          <a:off x="17267918" y="14174107"/>
          <a:ext cx="1524000" cy="142875"/>
          <a:chOff x="4584000" y="3780000"/>
          <a:chExt cx="1524000" cy="0"/>
        </a:xfrm>
      </xdr:grpSpPr>
      <xdr:cxnSp macro="">
        <xdr:nvCxnSpPr>
          <xdr:cNvPr id="1462937408" name="Shape 30">
            <a:extLst>
              <a:ext uri="{FF2B5EF4-FFF2-40B4-BE49-F238E27FC236}">
                <a16:creationId xmlns:a16="http://schemas.microsoft.com/office/drawing/2014/main" id="{00000000-0008-0000-0000-000040A73257}"/>
              </a:ext>
            </a:extLst>
          </xdr:cNvPr>
          <xdr:cNvCxnSpPr/>
        </xdr:nvCxnSpPr>
        <xdr:spPr>
          <a:xfrm>
            <a:off x="4584000" y="3780000"/>
            <a:ext cx="152400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45</xdr:col>
      <xdr:colOff>0</xdr:colOff>
      <xdr:row>177</xdr:row>
      <xdr:rowOff>0</xdr:rowOff>
    </xdr:from>
    <xdr:ext cx="3057525" cy="142875"/>
    <xdr:grpSp>
      <xdr:nvGrpSpPr>
        <xdr:cNvPr id="1462937409" name="Shape 2">
          <a:extLst>
            <a:ext uri="{FF2B5EF4-FFF2-40B4-BE49-F238E27FC236}">
              <a16:creationId xmlns:a16="http://schemas.microsoft.com/office/drawing/2014/main" id="{00000000-0008-0000-0000-000041A73257}"/>
            </a:ext>
          </a:extLst>
        </xdr:cNvPr>
        <xdr:cNvGrpSpPr/>
      </xdr:nvGrpSpPr>
      <xdr:grpSpPr>
        <a:xfrm>
          <a:off x="17893393" y="17439821"/>
          <a:ext cx="3057525" cy="142875"/>
          <a:chOff x="3817238" y="3780000"/>
          <a:chExt cx="3057525" cy="0"/>
        </a:xfrm>
      </xdr:grpSpPr>
      <xdr:cxnSp macro="">
        <xdr:nvCxnSpPr>
          <xdr:cNvPr id="1462937410" name="Shape 31">
            <a:extLst>
              <a:ext uri="{FF2B5EF4-FFF2-40B4-BE49-F238E27FC236}">
                <a16:creationId xmlns:a16="http://schemas.microsoft.com/office/drawing/2014/main" id="{00000000-0008-0000-0000-000042A73257}"/>
              </a:ext>
            </a:extLst>
          </xdr:cNvPr>
          <xdr:cNvCxnSpPr/>
        </xdr:nvCxnSpPr>
        <xdr:spPr>
          <a:xfrm>
            <a:off x="3817238" y="3780000"/>
            <a:ext cx="3057525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35</xdr:col>
      <xdr:colOff>609600</xdr:colOff>
      <xdr:row>149</xdr:row>
      <xdr:rowOff>9525</xdr:rowOff>
    </xdr:from>
    <xdr:ext cx="4724400" cy="142875"/>
    <xdr:grpSp>
      <xdr:nvGrpSpPr>
        <xdr:cNvPr id="1462937411" name="Shape 2">
          <a:extLst>
            <a:ext uri="{FF2B5EF4-FFF2-40B4-BE49-F238E27FC236}">
              <a16:creationId xmlns:a16="http://schemas.microsoft.com/office/drawing/2014/main" id="{00000000-0008-0000-0000-000043A73257}"/>
            </a:ext>
          </a:extLst>
        </xdr:cNvPr>
        <xdr:cNvGrpSpPr/>
      </xdr:nvGrpSpPr>
      <xdr:grpSpPr>
        <a:xfrm>
          <a:off x="15042243" y="14591846"/>
          <a:ext cx="4724400" cy="142875"/>
          <a:chOff x="2983800" y="3780000"/>
          <a:chExt cx="4724400" cy="0"/>
        </a:xfrm>
      </xdr:grpSpPr>
      <xdr:cxnSp macro="">
        <xdr:nvCxnSpPr>
          <xdr:cNvPr id="1462937412" name="Shape 32">
            <a:extLst>
              <a:ext uri="{FF2B5EF4-FFF2-40B4-BE49-F238E27FC236}">
                <a16:creationId xmlns:a16="http://schemas.microsoft.com/office/drawing/2014/main" id="{00000000-0008-0000-0000-000044A73257}"/>
              </a:ext>
            </a:extLst>
          </xdr:cNvPr>
          <xdr:cNvCxnSpPr/>
        </xdr:nvCxnSpPr>
        <xdr:spPr>
          <a:xfrm>
            <a:off x="2983800" y="3780000"/>
            <a:ext cx="472440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33</xdr:col>
      <xdr:colOff>9525</xdr:colOff>
      <xdr:row>155</xdr:row>
      <xdr:rowOff>0</xdr:rowOff>
    </xdr:from>
    <xdr:ext cx="4610100" cy="142875"/>
    <xdr:grpSp>
      <xdr:nvGrpSpPr>
        <xdr:cNvPr id="1462937413" name="Shape 2">
          <a:extLst>
            <a:ext uri="{FF2B5EF4-FFF2-40B4-BE49-F238E27FC236}">
              <a16:creationId xmlns:a16="http://schemas.microsoft.com/office/drawing/2014/main" id="{00000000-0008-0000-0000-000045A73257}"/>
            </a:ext>
          </a:extLst>
        </xdr:cNvPr>
        <xdr:cNvGrpSpPr/>
      </xdr:nvGrpSpPr>
      <xdr:grpSpPr>
        <a:xfrm>
          <a:off x="14092918" y="15194643"/>
          <a:ext cx="4610100" cy="142875"/>
          <a:chOff x="3040950" y="3780000"/>
          <a:chExt cx="4610100" cy="0"/>
        </a:xfrm>
      </xdr:grpSpPr>
      <xdr:cxnSp macro="">
        <xdr:nvCxnSpPr>
          <xdr:cNvPr id="1462937414" name="Shape 33">
            <a:extLst>
              <a:ext uri="{FF2B5EF4-FFF2-40B4-BE49-F238E27FC236}">
                <a16:creationId xmlns:a16="http://schemas.microsoft.com/office/drawing/2014/main" id="{00000000-0008-0000-0000-000046A73257}"/>
              </a:ext>
            </a:extLst>
          </xdr:cNvPr>
          <xdr:cNvCxnSpPr/>
        </xdr:nvCxnSpPr>
        <xdr:spPr>
          <a:xfrm>
            <a:off x="3040950" y="3780000"/>
            <a:ext cx="461010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39</xdr:col>
      <xdr:colOff>590550</xdr:colOff>
      <xdr:row>151</xdr:row>
      <xdr:rowOff>9525</xdr:rowOff>
    </xdr:from>
    <xdr:ext cx="4200525" cy="142875"/>
    <xdr:grpSp>
      <xdr:nvGrpSpPr>
        <xdr:cNvPr id="1462937415" name="Shape 2">
          <a:extLst>
            <a:ext uri="{FF2B5EF4-FFF2-40B4-BE49-F238E27FC236}">
              <a16:creationId xmlns:a16="http://schemas.microsoft.com/office/drawing/2014/main" id="{00000000-0008-0000-0000-000047A73257}"/>
            </a:ext>
          </a:extLst>
        </xdr:cNvPr>
        <xdr:cNvGrpSpPr/>
      </xdr:nvGrpSpPr>
      <xdr:grpSpPr>
        <a:xfrm>
          <a:off x="16312243" y="14795954"/>
          <a:ext cx="4200525" cy="142875"/>
          <a:chOff x="3245738" y="3780000"/>
          <a:chExt cx="4200525" cy="0"/>
        </a:xfrm>
      </xdr:grpSpPr>
      <xdr:cxnSp macro="">
        <xdr:nvCxnSpPr>
          <xdr:cNvPr id="1462937416" name="Shape 34">
            <a:extLst>
              <a:ext uri="{FF2B5EF4-FFF2-40B4-BE49-F238E27FC236}">
                <a16:creationId xmlns:a16="http://schemas.microsoft.com/office/drawing/2014/main" id="{00000000-0008-0000-0000-000048A73257}"/>
              </a:ext>
            </a:extLst>
          </xdr:cNvPr>
          <xdr:cNvCxnSpPr/>
        </xdr:nvCxnSpPr>
        <xdr:spPr>
          <a:xfrm>
            <a:off x="3245738" y="3780000"/>
            <a:ext cx="4200525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24</xdr:col>
      <xdr:colOff>381000</xdr:colOff>
      <xdr:row>169</xdr:row>
      <xdr:rowOff>9525</xdr:rowOff>
    </xdr:from>
    <xdr:ext cx="6115050" cy="142875"/>
    <xdr:grpSp>
      <xdr:nvGrpSpPr>
        <xdr:cNvPr id="1462937417" name="Shape 2">
          <a:extLst>
            <a:ext uri="{FF2B5EF4-FFF2-40B4-BE49-F238E27FC236}">
              <a16:creationId xmlns:a16="http://schemas.microsoft.com/office/drawing/2014/main" id="{00000000-0008-0000-0000-000049A73257}"/>
            </a:ext>
          </a:extLst>
        </xdr:cNvPr>
        <xdr:cNvGrpSpPr/>
      </xdr:nvGrpSpPr>
      <xdr:grpSpPr>
        <a:xfrm>
          <a:off x="11549743" y="16632918"/>
          <a:ext cx="6115050" cy="142875"/>
          <a:chOff x="2288475" y="3780000"/>
          <a:chExt cx="6115050" cy="0"/>
        </a:xfrm>
      </xdr:grpSpPr>
      <xdr:cxnSp macro="">
        <xdr:nvCxnSpPr>
          <xdr:cNvPr id="1462937418" name="Shape 35">
            <a:extLst>
              <a:ext uri="{FF2B5EF4-FFF2-40B4-BE49-F238E27FC236}">
                <a16:creationId xmlns:a16="http://schemas.microsoft.com/office/drawing/2014/main" id="{00000000-0008-0000-0000-00004AA73257}"/>
              </a:ext>
            </a:extLst>
          </xdr:cNvPr>
          <xdr:cNvCxnSpPr/>
        </xdr:nvCxnSpPr>
        <xdr:spPr>
          <a:xfrm>
            <a:off x="2288475" y="3780000"/>
            <a:ext cx="611505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26</xdr:col>
      <xdr:colOff>609600</xdr:colOff>
      <xdr:row>171</xdr:row>
      <xdr:rowOff>9525</xdr:rowOff>
    </xdr:from>
    <xdr:ext cx="6638925" cy="142875"/>
    <xdr:grpSp>
      <xdr:nvGrpSpPr>
        <xdr:cNvPr id="1462937419" name="Shape 2">
          <a:extLst>
            <a:ext uri="{FF2B5EF4-FFF2-40B4-BE49-F238E27FC236}">
              <a16:creationId xmlns:a16="http://schemas.microsoft.com/office/drawing/2014/main" id="{00000000-0008-0000-0000-00004BA73257}"/>
            </a:ext>
          </a:extLst>
        </xdr:cNvPr>
        <xdr:cNvGrpSpPr/>
      </xdr:nvGrpSpPr>
      <xdr:grpSpPr>
        <a:xfrm>
          <a:off x="12184743" y="16837025"/>
          <a:ext cx="6638925" cy="142875"/>
          <a:chOff x="2026538" y="3780000"/>
          <a:chExt cx="6638925" cy="0"/>
        </a:xfrm>
      </xdr:grpSpPr>
      <xdr:cxnSp macro="">
        <xdr:nvCxnSpPr>
          <xdr:cNvPr id="1462937420" name="Shape 36">
            <a:extLst>
              <a:ext uri="{FF2B5EF4-FFF2-40B4-BE49-F238E27FC236}">
                <a16:creationId xmlns:a16="http://schemas.microsoft.com/office/drawing/2014/main" id="{00000000-0008-0000-0000-00004CA73257}"/>
              </a:ext>
            </a:extLst>
          </xdr:cNvPr>
          <xdr:cNvCxnSpPr/>
        </xdr:nvCxnSpPr>
        <xdr:spPr>
          <a:xfrm>
            <a:off x="2026538" y="3780000"/>
            <a:ext cx="6638925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30</xdr:col>
      <xdr:colOff>0</xdr:colOff>
      <xdr:row>175</xdr:row>
      <xdr:rowOff>0</xdr:rowOff>
    </xdr:from>
    <xdr:ext cx="8343900" cy="142875"/>
    <xdr:grpSp>
      <xdr:nvGrpSpPr>
        <xdr:cNvPr id="1462937422" name="Shape 2">
          <a:extLst>
            <a:ext uri="{FF2B5EF4-FFF2-40B4-BE49-F238E27FC236}">
              <a16:creationId xmlns:a16="http://schemas.microsoft.com/office/drawing/2014/main" id="{00000000-0008-0000-0000-00004EA73257}"/>
            </a:ext>
          </a:extLst>
        </xdr:cNvPr>
        <xdr:cNvGrpSpPr/>
      </xdr:nvGrpSpPr>
      <xdr:grpSpPr>
        <a:xfrm>
          <a:off x="13130893" y="17235714"/>
          <a:ext cx="8343900" cy="142875"/>
          <a:chOff x="1174050" y="3780000"/>
          <a:chExt cx="8343900" cy="0"/>
        </a:xfrm>
      </xdr:grpSpPr>
      <xdr:cxnSp macro="">
        <xdr:nvCxnSpPr>
          <xdr:cNvPr id="1462937423" name="Shape 37">
            <a:extLst>
              <a:ext uri="{FF2B5EF4-FFF2-40B4-BE49-F238E27FC236}">
                <a16:creationId xmlns:a16="http://schemas.microsoft.com/office/drawing/2014/main" id="{00000000-0008-0000-0000-00004FA73257}"/>
              </a:ext>
            </a:extLst>
          </xdr:cNvPr>
          <xdr:cNvCxnSpPr/>
        </xdr:nvCxnSpPr>
        <xdr:spPr>
          <a:xfrm>
            <a:off x="1174050" y="3780000"/>
            <a:ext cx="834390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35</xdr:col>
      <xdr:colOff>600075</xdr:colOff>
      <xdr:row>165</xdr:row>
      <xdr:rowOff>0</xdr:rowOff>
    </xdr:from>
    <xdr:ext cx="5419725" cy="142875"/>
    <xdr:grpSp>
      <xdr:nvGrpSpPr>
        <xdr:cNvPr id="1462937424" name="Shape 2">
          <a:extLst>
            <a:ext uri="{FF2B5EF4-FFF2-40B4-BE49-F238E27FC236}">
              <a16:creationId xmlns:a16="http://schemas.microsoft.com/office/drawing/2014/main" id="{00000000-0008-0000-0000-000050A73257}"/>
            </a:ext>
          </a:extLst>
        </xdr:cNvPr>
        <xdr:cNvGrpSpPr/>
      </xdr:nvGrpSpPr>
      <xdr:grpSpPr>
        <a:xfrm>
          <a:off x="15042243" y="16215179"/>
          <a:ext cx="5419725" cy="142875"/>
          <a:chOff x="2636138" y="3780000"/>
          <a:chExt cx="5419725" cy="0"/>
        </a:xfrm>
      </xdr:grpSpPr>
      <xdr:cxnSp macro="">
        <xdr:nvCxnSpPr>
          <xdr:cNvPr id="1462937425" name="Shape 38">
            <a:extLst>
              <a:ext uri="{FF2B5EF4-FFF2-40B4-BE49-F238E27FC236}">
                <a16:creationId xmlns:a16="http://schemas.microsoft.com/office/drawing/2014/main" id="{00000000-0008-0000-0000-000051A73257}"/>
              </a:ext>
            </a:extLst>
          </xdr:cNvPr>
          <xdr:cNvCxnSpPr/>
        </xdr:nvCxnSpPr>
        <xdr:spPr>
          <a:xfrm>
            <a:off x="2636138" y="3780000"/>
            <a:ext cx="5419725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23</xdr:col>
      <xdr:colOff>0</xdr:colOff>
      <xdr:row>159</xdr:row>
      <xdr:rowOff>0</xdr:rowOff>
    </xdr:from>
    <xdr:ext cx="10306050" cy="142875"/>
    <xdr:grpSp>
      <xdr:nvGrpSpPr>
        <xdr:cNvPr id="1462937426" name="Shape 2">
          <a:extLst>
            <a:ext uri="{FF2B5EF4-FFF2-40B4-BE49-F238E27FC236}">
              <a16:creationId xmlns:a16="http://schemas.microsoft.com/office/drawing/2014/main" id="{00000000-0008-0000-0000-000052A73257}"/>
            </a:ext>
          </a:extLst>
        </xdr:cNvPr>
        <xdr:cNvGrpSpPr/>
      </xdr:nvGrpSpPr>
      <xdr:grpSpPr>
        <a:xfrm>
          <a:off x="10908393" y="15602857"/>
          <a:ext cx="10306050" cy="142875"/>
          <a:chOff x="192975" y="3780000"/>
          <a:chExt cx="10306050" cy="0"/>
        </a:xfrm>
      </xdr:grpSpPr>
      <xdr:cxnSp macro="">
        <xdr:nvCxnSpPr>
          <xdr:cNvPr id="1462937427" name="Shape 39">
            <a:extLst>
              <a:ext uri="{FF2B5EF4-FFF2-40B4-BE49-F238E27FC236}">
                <a16:creationId xmlns:a16="http://schemas.microsoft.com/office/drawing/2014/main" id="{00000000-0008-0000-0000-000053A73257}"/>
              </a:ext>
            </a:extLst>
          </xdr:cNvPr>
          <xdr:cNvCxnSpPr/>
        </xdr:nvCxnSpPr>
        <xdr:spPr>
          <a:xfrm>
            <a:off x="192975" y="3780000"/>
            <a:ext cx="1030605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22</xdr:col>
      <xdr:colOff>609600</xdr:colOff>
      <xdr:row>161</xdr:row>
      <xdr:rowOff>9525</xdr:rowOff>
    </xdr:from>
    <xdr:ext cx="8162925" cy="142875"/>
    <xdr:grpSp>
      <xdr:nvGrpSpPr>
        <xdr:cNvPr id="1462937428" name="Shape 2">
          <a:extLst>
            <a:ext uri="{FF2B5EF4-FFF2-40B4-BE49-F238E27FC236}">
              <a16:creationId xmlns:a16="http://schemas.microsoft.com/office/drawing/2014/main" id="{00000000-0008-0000-0000-000054A73257}"/>
            </a:ext>
          </a:extLst>
        </xdr:cNvPr>
        <xdr:cNvGrpSpPr/>
      </xdr:nvGrpSpPr>
      <xdr:grpSpPr>
        <a:xfrm>
          <a:off x="10914743" y="15816489"/>
          <a:ext cx="8162925" cy="142875"/>
          <a:chOff x="1264538" y="3780000"/>
          <a:chExt cx="8162925" cy="0"/>
        </a:xfrm>
      </xdr:grpSpPr>
      <xdr:cxnSp macro="">
        <xdr:nvCxnSpPr>
          <xdr:cNvPr id="1462937429" name="Shape 40">
            <a:extLst>
              <a:ext uri="{FF2B5EF4-FFF2-40B4-BE49-F238E27FC236}">
                <a16:creationId xmlns:a16="http://schemas.microsoft.com/office/drawing/2014/main" id="{00000000-0008-0000-0000-000055A73257}"/>
              </a:ext>
            </a:extLst>
          </xdr:cNvPr>
          <xdr:cNvCxnSpPr/>
        </xdr:nvCxnSpPr>
        <xdr:spPr>
          <a:xfrm>
            <a:off x="1264538" y="3780000"/>
            <a:ext cx="8162925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44</xdr:col>
      <xdr:colOff>609600</xdr:colOff>
      <xdr:row>163</xdr:row>
      <xdr:rowOff>0</xdr:rowOff>
    </xdr:from>
    <xdr:ext cx="2828925" cy="142875"/>
    <xdr:grpSp>
      <xdr:nvGrpSpPr>
        <xdr:cNvPr id="1462937430" name="Shape 2">
          <a:extLst>
            <a:ext uri="{FF2B5EF4-FFF2-40B4-BE49-F238E27FC236}">
              <a16:creationId xmlns:a16="http://schemas.microsoft.com/office/drawing/2014/main" id="{00000000-0008-0000-0000-000056A73257}"/>
            </a:ext>
          </a:extLst>
        </xdr:cNvPr>
        <xdr:cNvGrpSpPr/>
      </xdr:nvGrpSpPr>
      <xdr:grpSpPr>
        <a:xfrm>
          <a:off x="17899743" y="16011071"/>
          <a:ext cx="2828925" cy="142875"/>
          <a:chOff x="3931538" y="3780000"/>
          <a:chExt cx="2828925" cy="0"/>
        </a:xfrm>
      </xdr:grpSpPr>
      <xdr:cxnSp macro="">
        <xdr:nvCxnSpPr>
          <xdr:cNvPr id="1462937431" name="Shape 41">
            <a:extLst>
              <a:ext uri="{FF2B5EF4-FFF2-40B4-BE49-F238E27FC236}">
                <a16:creationId xmlns:a16="http://schemas.microsoft.com/office/drawing/2014/main" id="{00000000-0008-0000-0000-000057A73257}"/>
              </a:ext>
            </a:extLst>
          </xdr:cNvPr>
          <xdr:cNvCxnSpPr/>
        </xdr:nvCxnSpPr>
        <xdr:spPr>
          <a:xfrm>
            <a:off x="3931538" y="3780000"/>
            <a:ext cx="2828925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22</xdr:col>
      <xdr:colOff>381000</xdr:colOff>
      <xdr:row>49</xdr:row>
      <xdr:rowOff>0</xdr:rowOff>
    </xdr:from>
    <xdr:ext cx="1581150" cy="142875"/>
    <xdr:grpSp>
      <xdr:nvGrpSpPr>
        <xdr:cNvPr id="1462937432" name="Shape 2">
          <a:extLst>
            <a:ext uri="{FF2B5EF4-FFF2-40B4-BE49-F238E27FC236}">
              <a16:creationId xmlns:a16="http://schemas.microsoft.com/office/drawing/2014/main" id="{00000000-0008-0000-0000-000058A73257}"/>
            </a:ext>
          </a:extLst>
        </xdr:cNvPr>
        <xdr:cNvGrpSpPr/>
      </xdr:nvGrpSpPr>
      <xdr:grpSpPr>
        <a:xfrm>
          <a:off x="10914743" y="6418036"/>
          <a:ext cx="1581150" cy="142875"/>
          <a:chOff x="4555425" y="3780000"/>
          <a:chExt cx="1581150" cy="0"/>
        </a:xfrm>
      </xdr:grpSpPr>
      <xdr:cxnSp macro="">
        <xdr:nvCxnSpPr>
          <xdr:cNvPr id="1462937433" name="Shape 42">
            <a:extLst>
              <a:ext uri="{FF2B5EF4-FFF2-40B4-BE49-F238E27FC236}">
                <a16:creationId xmlns:a16="http://schemas.microsoft.com/office/drawing/2014/main" id="{00000000-0008-0000-0000-000059A73257}"/>
              </a:ext>
            </a:extLst>
          </xdr:cNvPr>
          <xdr:cNvCxnSpPr/>
        </xdr:nvCxnSpPr>
        <xdr:spPr>
          <a:xfrm>
            <a:off x="4555425" y="3780000"/>
            <a:ext cx="158115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28</xdr:col>
      <xdr:colOff>9525</xdr:colOff>
      <xdr:row>53</xdr:row>
      <xdr:rowOff>9525</xdr:rowOff>
    </xdr:from>
    <xdr:ext cx="1143000" cy="142875"/>
    <xdr:grpSp>
      <xdr:nvGrpSpPr>
        <xdr:cNvPr id="1462937434" name="Shape 2">
          <a:extLst>
            <a:ext uri="{FF2B5EF4-FFF2-40B4-BE49-F238E27FC236}">
              <a16:creationId xmlns:a16="http://schemas.microsoft.com/office/drawing/2014/main" id="{00000000-0008-0000-0000-00005AA73257}"/>
            </a:ext>
          </a:extLst>
        </xdr:cNvPr>
        <xdr:cNvGrpSpPr/>
      </xdr:nvGrpSpPr>
      <xdr:grpSpPr>
        <a:xfrm>
          <a:off x="12505418" y="6835775"/>
          <a:ext cx="1143000" cy="142875"/>
          <a:chOff x="4774500" y="3780000"/>
          <a:chExt cx="1143000" cy="0"/>
        </a:xfrm>
      </xdr:grpSpPr>
      <xdr:cxnSp macro="">
        <xdr:nvCxnSpPr>
          <xdr:cNvPr id="1462937435" name="Shape 43">
            <a:extLst>
              <a:ext uri="{FF2B5EF4-FFF2-40B4-BE49-F238E27FC236}">
                <a16:creationId xmlns:a16="http://schemas.microsoft.com/office/drawing/2014/main" id="{00000000-0008-0000-0000-00005BA73257}"/>
              </a:ext>
            </a:extLst>
          </xdr:cNvPr>
          <xdr:cNvCxnSpPr/>
        </xdr:nvCxnSpPr>
        <xdr:spPr>
          <a:xfrm>
            <a:off x="4774500" y="3780000"/>
            <a:ext cx="114300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30</xdr:col>
      <xdr:colOff>0</xdr:colOff>
      <xdr:row>55</xdr:row>
      <xdr:rowOff>0</xdr:rowOff>
    </xdr:from>
    <xdr:ext cx="762000" cy="142875"/>
    <xdr:grpSp>
      <xdr:nvGrpSpPr>
        <xdr:cNvPr id="1462937436" name="Shape 2">
          <a:extLst>
            <a:ext uri="{FF2B5EF4-FFF2-40B4-BE49-F238E27FC236}">
              <a16:creationId xmlns:a16="http://schemas.microsoft.com/office/drawing/2014/main" id="{00000000-0008-0000-0000-00005CA73257}"/>
            </a:ext>
          </a:extLst>
        </xdr:cNvPr>
        <xdr:cNvGrpSpPr/>
      </xdr:nvGrpSpPr>
      <xdr:grpSpPr>
        <a:xfrm>
          <a:off x="13130893" y="7030357"/>
          <a:ext cx="762000" cy="142875"/>
          <a:chOff x="4965000" y="3780000"/>
          <a:chExt cx="762000" cy="0"/>
        </a:xfrm>
      </xdr:grpSpPr>
      <xdr:cxnSp macro="">
        <xdr:nvCxnSpPr>
          <xdr:cNvPr id="1462937437" name="Shape 10">
            <a:extLst>
              <a:ext uri="{FF2B5EF4-FFF2-40B4-BE49-F238E27FC236}">
                <a16:creationId xmlns:a16="http://schemas.microsoft.com/office/drawing/2014/main" id="{00000000-0008-0000-0000-00005DA73257}"/>
              </a:ext>
            </a:extLst>
          </xdr:cNvPr>
          <xdr:cNvCxnSpPr/>
        </xdr:nvCxnSpPr>
        <xdr:spPr>
          <a:xfrm>
            <a:off x="4965000" y="3780000"/>
            <a:ext cx="76200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32</xdr:col>
      <xdr:colOff>0</xdr:colOff>
      <xdr:row>57</xdr:row>
      <xdr:rowOff>9525</xdr:rowOff>
    </xdr:from>
    <xdr:ext cx="390525" cy="142875"/>
    <xdr:grpSp>
      <xdr:nvGrpSpPr>
        <xdr:cNvPr id="1462937438" name="Shape 2">
          <a:extLst>
            <a:ext uri="{FF2B5EF4-FFF2-40B4-BE49-F238E27FC236}">
              <a16:creationId xmlns:a16="http://schemas.microsoft.com/office/drawing/2014/main" id="{00000000-0008-0000-0000-00005EA73257}"/>
            </a:ext>
          </a:extLst>
        </xdr:cNvPr>
        <xdr:cNvGrpSpPr/>
      </xdr:nvGrpSpPr>
      <xdr:grpSpPr>
        <a:xfrm>
          <a:off x="13765893" y="7243989"/>
          <a:ext cx="390525" cy="142875"/>
          <a:chOff x="5150738" y="3780000"/>
          <a:chExt cx="390525" cy="0"/>
        </a:xfrm>
      </xdr:grpSpPr>
      <xdr:cxnSp macro="">
        <xdr:nvCxnSpPr>
          <xdr:cNvPr id="1462937439" name="Shape 44">
            <a:extLst>
              <a:ext uri="{FF2B5EF4-FFF2-40B4-BE49-F238E27FC236}">
                <a16:creationId xmlns:a16="http://schemas.microsoft.com/office/drawing/2014/main" id="{00000000-0008-0000-0000-00005FA73257}"/>
              </a:ext>
            </a:extLst>
          </xdr:cNvPr>
          <xdr:cNvCxnSpPr/>
        </xdr:nvCxnSpPr>
        <xdr:spPr>
          <a:xfrm>
            <a:off x="5150738" y="3780000"/>
            <a:ext cx="390525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43</xdr:col>
      <xdr:colOff>609600</xdr:colOff>
      <xdr:row>127</xdr:row>
      <xdr:rowOff>0</xdr:rowOff>
    </xdr:from>
    <xdr:ext cx="2390775" cy="142875"/>
    <xdr:grpSp>
      <xdr:nvGrpSpPr>
        <xdr:cNvPr id="1462937440" name="Shape 2">
          <a:extLst>
            <a:ext uri="{FF2B5EF4-FFF2-40B4-BE49-F238E27FC236}">
              <a16:creationId xmlns:a16="http://schemas.microsoft.com/office/drawing/2014/main" id="{00000000-0008-0000-0000-000060A73257}"/>
            </a:ext>
          </a:extLst>
        </xdr:cNvPr>
        <xdr:cNvGrpSpPr/>
      </xdr:nvGrpSpPr>
      <xdr:grpSpPr>
        <a:xfrm>
          <a:off x="17582243" y="12337143"/>
          <a:ext cx="2390775" cy="142875"/>
          <a:chOff x="4150613" y="3780000"/>
          <a:chExt cx="2390775" cy="0"/>
        </a:xfrm>
      </xdr:grpSpPr>
      <xdr:cxnSp macro="">
        <xdr:nvCxnSpPr>
          <xdr:cNvPr id="1462937441" name="Shape 45">
            <a:extLst>
              <a:ext uri="{FF2B5EF4-FFF2-40B4-BE49-F238E27FC236}">
                <a16:creationId xmlns:a16="http://schemas.microsoft.com/office/drawing/2014/main" id="{00000000-0008-0000-0000-000061A73257}"/>
              </a:ext>
            </a:extLst>
          </xdr:cNvPr>
          <xdr:cNvCxnSpPr/>
        </xdr:nvCxnSpPr>
        <xdr:spPr>
          <a:xfrm>
            <a:off x="4150613" y="3780000"/>
            <a:ext cx="2390775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40</xdr:col>
      <xdr:colOff>0</xdr:colOff>
      <xdr:row>125</xdr:row>
      <xdr:rowOff>9525</xdr:rowOff>
    </xdr:from>
    <xdr:ext cx="4533900" cy="142875"/>
    <xdr:grpSp>
      <xdr:nvGrpSpPr>
        <xdr:cNvPr id="1462937442" name="Shape 2">
          <a:extLst>
            <a:ext uri="{FF2B5EF4-FFF2-40B4-BE49-F238E27FC236}">
              <a16:creationId xmlns:a16="http://schemas.microsoft.com/office/drawing/2014/main" id="{00000000-0008-0000-0000-000062A73257}"/>
            </a:ext>
          </a:extLst>
        </xdr:cNvPr>
        <xdr:cNvGrpSpPr/>
      </xdr:nvGrpSpPr>
      <xdr:grpSpPr>
        <a:xfrm>
          <a:off x="16305893" y="12142561"/>
          <a:ext cx="4533900" cy="142875"/>
          <a:chOff x="3079050" y="3780000"/>
          <a:chExt cx="4533900" cy="0"/>
        </a:xfrm>
      </xdr:grpSpPr>
      <xdr:cxnSp macro="">
        <xdr:nvCxnSpPr>
          <xdr:cNvPr id="1462937443" name="Shape 46">
            <a:extLst>
              <a:ext uri="{FF2B5EF4-FFF2-40B4-BE49-F238E27FC236}">
                <a16:creationId xmlns:a16="http://schemas.microsoft.com/office/drawing/2014/main" id="{00000000-0008-0000-0000-000063A73257}"/>
              </a:ext>
            </a:extLst>
          </xdr:cNvPr>
          <xdr:cNvCxnSpPr/>
        </xdr:nvCxnSpPr>
        <xdr:spPr>
          <a:xfrm>
            <a:off x="3079050" y="3780000"/>
            <a:ext cx="453390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16</xdr:col>
      <xdr:colOff>9525</xdr:colOff>
      <xdr:row>21</xdr:row>
      <xdr:rowOff>0</xdr:rowOff>
    </xdr:from>
    <xdr:ext cx="428625" cy="142875"/>
    <xdr:grpSp>
      <xdr:nvGrpSpPr>
        <xdr:cNvPr id="1462937444" name="Shape 2">
          <a:extLst>
            <a:ext uri="{FF2B5EF4-FFF2-40B4-BE49-F238E27FC236}">
              <a16:creationId xmlns:a16="http://schemas.microsoft.com/office/drawing/2014/main" id="{00000000-0008-0000-0000-000064A73257}"/>
            </a:ext>
          </a:extLst>
        </xdr:cNvPr>
        <xdr:cNvGrpSpPr/>
      </xdr:nvGrpSpPr>
      <xdr:grpSpPr>
        <a:xfrm>
          <a:off x="8922204" y="3537857"/>
          <a:ext cx="428625" cy="142875"/>
          <a:chOff x="5131688" y="3780000"/>
          <a:chExt cx="428625" cy="0"/>
        </a:xfrm>
      </xdr:grpSpPr>
      <xdr:cxnSp macro="">
        <xdr:nvCxnSpPr>
          <xdr:cNvPr id="1462937445" name="Shape 47">
            <a:extLst>
              <a:ext uri="{FF2B5EF4-FFF2-40B4-BE49-F238E27FC236}">
                <a16:creationId xmlns:a16="http://schemas.microsoft.com/office/drawing/2014/main" id="{00000000-0008-0000-0000-000065A73257}"/>
              </a:ext>
            </a:extLst>
          </xdr:cNvPr>
          <xdr:cNvCxnSpPr/>
        </xdr:nvCxnSpPr>
        <xdr:spPr>
          <a:xfrm>
            <a:off x="5131688" y="3780000"/>
            <a:ext cx="428625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15</xdr:col>
      <xdr:colOff>0</xdr:colOff>
      <xdr:row>23</xdr:row>
      <xdr:rowOff>0</xdr:rowOff>
    </xdr:from>
    <xdr:ext cx="4324350" cy="152400"/>
    <xdr:grpSp>
      <xdr:nvGrpSpPr>
        <xdr:cNvPr id="1462937446" name="Shape 2">
          <a:extLst>
            <a:ext uri="{FF2B5EF4-FFF2-40B4-BE49-F238E27FC236}">
              <a16:creationId xmlns:a16="http://schemas.microsoft.com/office/drawing/2014/main" id="{00000000-0008-0000-0000-000066A73257}"/>
            </a:ext>
          </a:extLst>
        </xdr:cNvPr>
        <xdr:cNvGrpSpPr/>
      </xdr:nvGrpSpPr>
      <xdr:grpSpPr>
        <a:xfrm>
          <a:off x="8549821" y="3741964"/>
          <a:ext cx="4324350" cy="152400"/>
          <a:chOff x="3183825" y="3780000"/>
          <a:chExt cx="4324350" cy="0"/>
        </a:xfrm>
      </xdr:grpSpPr>
      <xdr:cxnSp macro="">
        <xdr:nvCxnSpPr>
          <xdr:cNvPr id="1462937447" name="Shape 48">
            <a:extLst>
              <a:ext uri="{FF2B5EF4-FFF2-40B4-BE49-F238E27FC236}">
                <a16:creationId xmlns:a16="http://schemas.microsoft.com/office/drawing/2014/main" id="{00000000-0008-0000-0000-000067A73257}"/>
              </a:ext>
            </a:extLst>
          </xdr:cNvPr>
          <xdr:cNvCxnSpPr/>
        </xdr:nvCxnSpPr>
        <xdr:spPr>
          <a:xfrm>
            <a:off x="3183825" y="3780000"/>
            <a:ext cx="432435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17</xdr:col>
      <xdr:colOff>114300</xdr:colOff>
      <xdr:row>25</xdr:row>
      <xdr:rowOff>9525</xdr:rowOff>
    </xdr:from>
    <xdr:ext cx="2190750" cy="142875"/>
    <xdr:grpSp>
      <xdr:nvGrpSpPr>
        <xdr:cNvPr id="1462937448" name="Shape 2">
          <a:extLst>
            <a:ext uri="{FF2B5EF4-FFF2-40B4-BE49-F238E27FC236}">
              <a16:creationId xmlns:a16="http://schemas.microsoft.com/office/drawing/2014/main" id="{00000000-0008-0000-0000-000068A73257}"/>
            </a:ext>
          </a:extLst>
        </xdr:cNvPr>
        <xdr:cNvGrpSpPr/>
      </xdr:nvGrpSpPr>
      <xdr:grpSpPr>
        <a:xfrm>
          <a:off x="9389836" y="3955596"/>
          <a:ext cx="2190750" cy="142875"/>
          <a:chOff x="4250625" y="3780000"/>
          <a:chExt cx="2190750" cy="0"/>
        </a:xfrm>
      </xdr:grpSpPr>
      <xdr:cxnSp macro="">
        <xdr:nvCxnSpPr>
          <xdr:cNvPr id="1462937449" name="Shape 49">
            <a:extLst>
              <a:ext uri="{FF2B5EF4-FFF2-40B4-BE49-F238E27FC236}">
                <a16:creationId xmlns:a16="http://schemas.microsoft.com/office/drawing/2014/main" id="{00000000-0008-0000-0000-000069A73257}"/>
              </a:ext>
            </a:extLst>
          </xdr:cNvPr>
          <xdr:cNvCxnSpPr/>
        </xdr:nvCxnSpPr>
        <xdr:spPr>
          <a:xfrm>
            <a:off x="4250625" y="3780000"/>
            <a:ext cx="219075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17</xdr:col>
      <xdr:colOff>123825</xdr:colOff>
      <xdr:row>29</xdr:row>
      <xdr:rowOff>0</xdr:rowOff>
    </xdr:from>
    <xdr:ext cx="323850" cy="142875"/>
    <xdr:grpSp>
      <xdr:nvGrpSpPr>
        <xdr:cNvPr id="1462937450" name="Shape 2">
          <a:extLst>
            <a:ext uri="{FF2B5EF4-FFF2-40B4-BE49-F238E27FC236}">
              <a16:creationId xmlns:a16="http://schemas.microsoft.com/office/drawing/2014/main" id="{00000000-0008-0000-0000-00006AA73257}"/>
            </a:ext>
          </a:extLst>
        </xdr:cNvPr>
        <xdr:cNvGrpSpPr/>
      </xdr:nvGrpSpPr>
      <xdr:grpSpPr>
        <a:xfrm>
          <a:off x="9399361" y="4376964"/>
          <a:ext cx="323850" cy="142875"/>
          <a:chOff x="5184075" y="3780000"/>
          <a:chExt cx="323850" cy="0"/>
        </a:xfrm>
      </xdr:grpSpPr>
      <xdr:cxnSp macro="">
        <xdr:nvCxnSpPr>
          <xdr:cNvPr id="1462937451" name="Shape 50">
            <a:extLst>
              <a:ext uri="{FF2B5EF4-FFF2-40B4-BE49-F238E27FC236}">
                <a16:creationId xmlns:a16="http://schemas.microsoft.com/office/drawing/2014/main" id="{00000000-0008-0000-0000-00006BA73257}"/>
              </a:ext>
            </a:extLst>
          </xdr:cNvPr>
          <xdr:cNvCxnSpPr/>
        </xdr:nvCxnSpPr>
        <xdr:spPr>
          <a:xfrm>
            <a:off x="5184075" y="3780000"/>
            <a:ext cx="32385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17</xdr:col>
      <xdr:colOff>123825</xdr:colOff>
      <xdr:row>31</xdr:row>
      <xdr:rowOff>0</xdr:rowOff>
    </xdr:from>
    <xdr:ext cx="676275" cy="142875"/>
    <xdr:grpSp>
      <xdr:nvGrpSpPr>
        <xdr:cNvPr id="1462937452" name="Shape 2">
          <a:extLst>
            <a:ext uri="{FF2B5EF4-FFF2-40B4-BE49-F238E27FC236}">
              <a16:creationId xmlns:a16="http://schemas.microsoft.com/office/drawing/2014/main" id="{00000000-0008-0000-0000-00006CA73257}"/>
            </a:ext>
          </a:extLst>
        </xdr:cNvPr>
        <xdr:cNvGrpSpPr/>
      </xdr:nvGrpSpPr>
      <xdr:grpSpPr>
        <a:xfrm>
          <a:off x="9399361" y="4581071"/>
          <a:ext cx="676275" cy="142875"/>
          <a:chOff x="5007863" y="3780000"/>
          <a:chExt cx="676275" cy="0"/>
        </a:xfrm>
      </xdr:grpSpPr>
      <xdr:cxnSp macro="">
        <xdr:nvCxnSpPr>
          <xdr:cNvPr id="1462937453" name="Shape 51">
            <a:extLst>
              <a:ext uri="{FF2B5EF4-FFF2-40B4-BE49-F238E27FC236}">
                <a16:creationId xmlns:a16="http://schemas.microsoft.com/office/drawing/2014/main" id="{00000000-0008-0000-0000-00006DA73257}"/>
              </a:ext>
            </a:extLst>
          </xdr:cNvPr>
          <xdr:cNvCxnSpPr/>
        </xdr:nvCxnSpPr>
        <xdr:spPr>
          <a:xfrm>
            <a:off x="5007863" y="3780000"/>
            <a:ext cx="676275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17</xdr:col>
      <xdr:colOff>142875</xdr:colOff>
      <xdr:row>35</xdr:row>
      <xdr:rowOff>0</xdr:rowOff>
    </xdr:from>
    <xdr:ext cx="2505075" cy="142875"/>
    <xdr:grpSp>
      <xdr:nvGrpSpPr>
        <xdr:cNvPr id="1462937454" name="Shape 2">
          <a:extLst>
            <a:ext uri="{FF2B5EF4-FFF2-40B4-BE49-F238E27FC236}">
              <a16:creationId xmlns:a16="http://schemas.microsoft.com/office/drawing/2014/main" id="{00000000-0008-0000-0000-00006EA73257}"/>
            </a:ext>
          </a:extLst>
        </xdr:cNvPr>
        <xdr:cNvGrpSpPr/>
      </xdr:nvGrpSpPr>
      <xdr:grpSpPr>
        <a:xfrm>
          <a:off x="9418411" y="4989286"/>
          <a:ext cx="2505075" cy="142875"/>
          <a:chOff x="4093463" y="3780000"/>
          <a:chExt cx="2505075" cy="0"/>
        </a:xfrm>
      </xdr:grpSpPr>
      <xdr:cxnSp macro="">
        <xdr:nvCxnSpPr>
          <xdr:cNvPr id="1462937455" name="Shape 52">
            <a:extLst>
              <a:ext uri="{FF2B5EF4-FFF2-40B4-BE49-F238E27FC236}">
                <a16:creationId xmlns:a16="http://schemas.microsoft.com/office/drawing/2014/main" id="{00000000-0008-0000-0000-00006FA73257}"/>
              </a:ext>
            </a:extLst>
          </xdr:cNvPr>
          <xdr:cNvCxnSpPr/>
        </xdr:nvCxnSpPr>
        <xdr:spPr>
          <a:xfrm>
            <a:off x="4093463" y="3780000"/>
            <a:ext cx="2505075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19</xdr:col>
      <xdr:colOff>0</xdr:colOff>
      <xdr:row>41</xdr:row>
      <xdr:rowOff>0</xdr:rowOff>
    </xdr:from>
    <xdr:ext cx="3819525" cy="142875"/>
    <xdr:grpSp>
      <xdr:nvGrpSpPr>
        <xdr:cNvPr id="1462937456" name="Shape 2">
          <a:extLst>
            <a:ext uri="{FF2B5EF4-FFF2-40B4-BE49-F238E27FC236}">
              <a16:creationId xmlns:a16="http://schemas.microsoft.com/office/drawing/2014/main" id="{00000000-0008-0000-0000-000070A73257}"/>
            </a:ext>
          </a:extLst>
        </xdr:cNvPr>
        <xdr:cNvGrpSpPr/>
      </xdr:nvGrpSpPr>
      <xdr:grpSpPr>
        <a:xfrm>
          <a:off x="9638393" y="5601607"/>
          <a:ext cx="3819525" cy="142875"/>
          <a:chOff x="3436238" y="3775238"/>
          <a:chExt cx="3819525" cy="9525"/>
        </a:xfrm>
      </xdr:grpSpPr>
      <xdr:cxnSp macro="">
        <xdr:nvCxnSpPr>
          <xdr:cNvPr id="1462937457" name="Shape 53">
            <a:extLst>
              <a:ext uri="{FF2B5EF4-FFF2-40B4-BE49-F238E27FC236}">
                <a16:creationId xmlns:a16="http://schemas.microsoft.com/office/drawing/2014/main" id="{00000000-0008-0000-0000-000071A73257}"/>
              </a:ext>
            </a:extLst>
          </xdr:cNvPr>
          <xdr:cNvCxnSpPr/>
        </xdr:nvCxnSpPr>
        <xdr:spPr>
          <a:xfrm rot="10800000" flipH="1">
            <a:off x="3436238" y="3775238"/>
            <a:ext cx="3819525" cy="9525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19</xdr:col>
      <xdr:colOff>0</xdr:colOff>
      <xdr:row>37</xdr:row>
      <xdr:rowOff>0</xdr:rowOff>
    </xdr:from>
    <xdr:ext cx="1524000" cy="142875"/>
    <xdr:grpSp>
      <xdr:nvGrpSpPr>
        <xdr:cNvPr id="1462937458" name="Shape 2">
          <a:extLst>
            <a:ext uri="{FF2B5EF4-FFF2-40B4-BE49-F238E27FC236}">
              <a16:creationId xmlns:a16="http://schemas.microsoft.com/office/drawing/2014/main" id="{00000000-0008-0000-0000-000072A73257}"/>
            </a:ext>
          </a:extLst>
        </xdr:cNvPr>
        <xdr:cNvGrpSpPr/>
      </xdr:nvGrpSpPr>
      <xdr:grpSpPr>
        <a:xfrm>
          <a:off x="9638393" y="5193393"/>
          <a:ext cx="1524000" cy="142875"/>
          <a:chOff x="4584000" y="3780000"/>
          <a:chExt cx="1524000" cy="0"/>
        </a:xfrm>
      </xdr:grpSpPr>
      <xdr:cxnSp macro="">
        <xdr:nvCxnSpPr>
          <xdr:cNvPr id="1462937459" name="Shape 30">
            <a:extLst>
              <a:ext uri="{FF2B5EF4-FFF2-40B4-BE49-F238E27FC236}">
                <a16:creationId xmlns:a16="http://schemas.microsoft.com/office/drawing/2014/main" id="{00000000-0008-0000-0000-000073A73257}"/>
              </a:ext>
            </a:extLst>
          </xdr:cNvPr>
          <xdr:cNvCxnSpPr/>
        </xdr:nvCxnSpPr>
        <xdr:spPr>
          <a:xfrm>
            <a:off x="4584000" y="3780000"/>
            <a:ext cx="152400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33</xdr:col>
      <xdr:colOff>600075</xdr:colOff>
      <xdr:row>81</xdr:row>
      <xdr:rowOff>9525</xdr:rowOff>
    </xdr:from>
    <xdr:ext cx="552450" cy="142875"/>
    <xdr:grpSp>
      <xdr:nvGrpSpPr>
        <xdr:cNvPr id="1462937460" name="Shape 2">
          <a:extLst>
            <a:ext uri="{FF2B5EF4-FFF2-40B4-BE49-F238E27FC236}">
              <a16:creationId xmlns:a16="http://schemas.microsoft.com/office/drawing/2014/main" id="{00000000-0008-0000-0000-000074A73257}"/>
            </a:ext>
          </a:extLst>
        </xdr:cNvPr>
        <xdr:cNvGrpSpPr/>
      </xdr:nvGrpSpPr>
      <xdr:grpSpPr>
        <a:xfrm>
          <a:off x="14407243" y="7652204"/>
          <a:ext cx="552450" cy="142875"/>
          <a:chOff x="5069775" y="3780000"/>
          <a:chExt cx="552450" cy="0"/>
        </a:xfrm>
      </xdr:grpSpPr>
      <xdr:cxnSp macro="">
        <xdr:nvCxnSpPr>
          <xdr:cNvPr id="1462937461" name="Shape 54">
            <a:extLst>
              <a:ext uri="{FF2B5EF4-FFF2-40B4-BE49-F238E27FC236}">
                <a16:creationId xmlns:a16="http://schemas.microsoft.com/office/drawing/2014/main" id="{00000000-0008-0000-0000-000075A73257}"/>
              </a:ext>
            </a:extLst>
          </xdr:cNvPr>
          <xdr:cNvCxnSpPr/>
        </xdr:nvCxnSpPr>
        <xdr:spPr>
          <a:xfrm>
            <a:off x="5069775" y="3780000"/>
            <a:ext cx="55245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35</xdr:col>
      <xdr:colOff>590550</xdr:colOff>
      <xdr:row>83</xdr:row>
      <xdr:rowOff>0</xdr:rowOff>
    </xdr:from>
    <xdr:ext cx="180975" cy="142875"/>
    <xdr:grpSp>
      <xdr:nvGrpSpPr>
        <xdr:cNvPr id="1462937462" name="Shape 2">
          <a:extLst>
            <a:ext uri="{FF2B5EF4-FFF2-40B4-BE49-F238E27FC236}">
              <a16:creationId xmlns:a16="http://schemas.microsoft.com/office/drawing/2014/main" id="{00000000-0008-0000-0000-000076A73257}"/>
            </a:ext>
          </a:extLst>
        </xdr:cNvPr>
        <xdr:cNvGrpSpPr/>
      </xdr:nvGrpSpPr>
      <xdr:grpSpPr>
        <a:xfrm>
          <a:off x="15042243" y="7846786"/>
          <a:ext cx="180975" cy="142875"/>
          <a:chOff x="5255513" y="3780000"/>
          <a:chExt cx="180975" cy="0"/>
        </a:xfrm>
      </xdr:grpSpPr>
      <xdr:cxnSp macro="">
        <xdr:nvCxnSpPr>
          <xdr:cNvPr id="1462937463" name="Shape 55">
            <a:extLst>
              <a:ext uri="{FF2B5EF4-FFF2-40B4-BE49-F238E27FC236}">
                <a16:creationId xmlns:a16="http://schemas.microsoft.com/office/drawing/2014/main" id="{00000000-0008-0000-0000-000077A73257}"/>
              </a:ext>
            </a:extLst>
          </xdr:cNvPr>
          <xdr:cNvCxnSpPr/>
        </xdr:nvCxnSpPr>
        <xdr:spPr>
          <a:xfrm>
            <a:off x="5255513" y="3780000"/>
            <a:ext cx="180975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38</xdr:col>
      <xdr:colOff>285750</xdr:colOff>
      <xdr:row>87</xdr:row>
      <xdr:rowOff>9525</xdr:rowOff>
    </xdr:from>
    <xdr:ext cx="600075" cy="142875"/>
    <xdr:grpSp>
      <xdr:nvGrpSpPr>
        <xdr:cNvPr id="1462937464" name="Shape 2">
          <a:extLst>
            <a:ext uri="{FF2B5EF4-FFF2-40B4-BE49-F238E27FC236}">
              <a16:creationId xmlns:a16="http://schemas.microsoft.com/office/drawing/2014/main" id="{00000000-0008-0000-0000-000078A73257}"/>
            </a:ext>
          </a:extLst>
        </xdr:cNvPr>
        <xdr:cNvGrpSpPr/>
      </xdr:nvGrpSpPr>
      <xdr:grpSpPr>
        <a:xfrm>
          <a:off x="15956643" y="8264525"/>
          <a:ext cx="600075" cy="142875"/>
          <a:chOff x="5045963" y="3780000"/>
          <a:chExt cx="600075" cy="0"/>
        </a:xfrm>
      </xdr:grpSpPr>
      <xdr:cxnSp macro="">
        <xdr:nvCxnSpPr>
          <xdr:cNvPr id="1462937465" name="Shape 56">
            <a:extLst>
              <a:ext uri="{FF2B5EF4-FFF2-40B4-BE49-F238E27FC236}">
                <a16:creationId xmlns:a16="http://schemas.microsoft.com/office/drawing/2014/main" id="{00000000-0008-0000-0000-000079A73257}"/>
              </a:ext>
            </a:extLst>
          </xdr:cNvPr>
          <xdr:cNvCxnSpPr/>
        </xdr:nvCxnSpPr>
        <xdr:spPr>
          <a:xfrm>
            <a:off x="5045963" y="3780000"/>
            <a:ext cx="600075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36</xdr:col>
      <xdr:colOff>619125</xdr:colOff>
      <xdr:row>85</xdr:row>
      <xdr:rowOff>9525</xdr:rowOff>
    </xdr:from>
    <xdr:ext cx="438150" cy="142875"/>
    <xdr:grpSp>
      <xdr:nvGrpSpPr>
        <xdr:cNvPr id="1462937466" name="Shape 2">
          <a:extLst>
            <a:ext uri="{FF2B5EF4-FFF2-40B4-BE49-F238E27FC236}">
              <a16:creationId xmlns:a16="http://schemas.microsoft.com/office/drawing/2014/main" id="{00000000-0008-0000-0000-00007AA73257}"/>
            </a:ext>
          </a:extLst>
        </xdr:cNvPr>
        <xdr:cNvGrpSpPr/>
      </xdr:nvGrpSpPr>
      <xdr:grpSpPr>
        <a:xfrm>
          <a:off x="15359743" y="8060418"/>
          <a:ext cx="438150" cy="142875"/>
          <a:chOff x="5126925" y="3780000"/>
          <a:chExt cx="438150" cy="0"/>
        </a:xfrm>
      </xdr:grpSpPr>
      <xdr:cxnSp macro="">
        <xdr:nvCxnSpPr>
          <xdr:cNvPr id="1462937467" name="Shape 57">
            <a:extLst>
              <a:ext uri="{FF2B5EF4-FFF2-40B4-BE49-F238E27FC236}">
                <a16:creationId xmlns:a16="http://schemas.microsoft.com/office/drawing/2014/main" id="{00000000-0008-0000-0000-00007BA73257}"/>
              </a:ext>
            </a:extLst>
          </xdr:cNvPr>
          <xdr:cNvCxnSpPr/>
        </xdr:nvCxnSpPr>
        <xdr:spPr>
          <a:xfrm>
            <a:off x="5126925" y="3780000"/>
            <a:ext cx="43815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39</xdr:col>
      <xdr:colOff>476250</xdr:colOff>
      <xdr:row>89</xdr:row>
      <xdr:rowOff>9525</xdr:rowOff>
    </xdr:from>
    <xdr:ext cx="352425" cy="142875"/>
    <xdr:grpSp>
      <xdr:nvGrpSpPr>
        <xdr:cNvPr id="1462937468" name="Shape 2">
          <a:extLst>
            <a:ext uri="{FF2B5EF4-FFF2-40B4-BE49-F238E27FC236}">
              <a16:creationId xmlns:a16="http://schemas.microsoft.com/office/drawing/2014/main" id="{00000000-0008-0000-0000-00007CA73257}"/>
            </a:ext>
          </a:extLst>
        </xdr:cNvPr>
        <xdr:cNvGrpSpPr/>
      </xdr:nvGrpSpPr>
      <xdr:grpSpPr>
        <a:xfrm>
          <a:off x="16312243" y="8468632"/>
          <a:ext cx="352425" cy="142875"/>
          <a:chOff x="5169788" y="3780000"/>
          <a:chExt cx="352425" cy="0"/>
        </a:xfrm>
      </xdr:grpSpPr>
      <xdr:cxnSp macro="">
        <xdr:nvCxnSpPr>
          <xdr:cNvPr id="1462937469" name="Shape 58">
            <a:extLst>
              <a:ext uri="{FF2B5EF4-FFF2-40B4-BE49-F238E27FC236}">
                <a16:creationId xmlns:a16="http://schemas.microsoft.com/office/drawing/2014/main" id="{00000000-0008-0000-0000-00007DA73257}"/>
              </a:ext>
            </a:extLst>
          </xdr:cNvPr>
          <xdr:cNvCxnSpPr/>
        </xdr:nvCxnSpPr>
        <xdr:spPr>
          <a:xfrm>
            <a:off x="5169788" y="3780000"/>
            <a:ext cx="352425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33</xdr:col>
      <xdr:colOff>0</xdr:colOff>
      <xdr:row>91</xdr:row>
      <xdr:rowOff>9525</xdr:rowOff>
    </xdr:from>
    <xdr:ext cx="1914525" cy="142875"/>
    <xdr:grpSp>
      <xdr:nvGrpSpPr>
        <xdr:cNvPr id="1462937470" name="Shape 2">
          <a:extLst>
            <a:ext uri="{FF2B5EF4-FFF2-40B4-BE49-F238E27FC236}">
              <a16:creationId xmlns:a16="http://schemas.microsoft.com/office/drawing/2014/main" id="{00000000-0008-0000-0000-00007EA73257}"/>
            </a:ext>
          </a:extLst>
        </xdr:cNvPr>
        <xdr:cNvGrpSpPr/>
      </xdr:nvGrpSpPr>
      <xdr:grpSpPr>
        <a:xfrm>
          <a:off x="14083393" y="8672739"/>
          <a:ext cx="1914525" cy="142875"/>
          <a:chOff x="4388738" y="3780000"/>
          <a:chExt cx="1914525" cy="0"/>
        </a:xfrm>
      </xdr:grpSpPr>
      <xdr:cxnSp macro="">
        <xdr:nvCxnSpPr>
          <xdr:cNvPr id="1462937471" name="Shape 59">
            <a:extLst>
              <a:ext uri="{FF2B5EF4-FFF2-40B4-BE49-F238E27FC236}">
                <a16:creationId xmlns:a16="http://schemas.microsoft.com/office/drawing/2014/main" id="{00000000-0008-0000-0000-00007FA73257}"/>
              </a:ext>
            </a:extLst>
          </xdr:cNvPr>
          <xdr:cNvCxnSpPr/>
        </xdr:nvCxnSpPr>
        <xdr:spPr>
          <a:xfrm>
            <a:off x="4388738" y="3780000"/>
            <a:ext cx="1914525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22</xdr:col>
      <xdr:colOff>361950</xdr:colOff>
      <xdr:row>95</xdr:row>
      <xdr:rowOff>9525</xdr:rowOff>
    </xdr:from>
    <xdr:ext cx="3829050" cy="142875"/>
    <xdr:grpSp>
      <xdr:nvGrpSpPr>
        <xdr:cNvPr id="1462937472" name="Shape 2">
          <a:extLst>
            <a:ext uri="{FF2B5EF4-FFF2-40B4-BE49-F238E27FC236}">
              <a16:creationId xmlns:a16="http://schemas.microsoft.com/office/drawing/2014/main" id="{00000000-0008-0000-0000-000080A73257}"/>
            </a:ext>
          </a:extLst>
        </xdr:cNvPr>
        <xdr:cNvGrpSpPr/>
      </xdr:nvGrpSpPr>
      <xdr:grpSpPr>
        <a:xfrm>
          <a:off x="10914743" y="9080954"/>
          <a:ext cx="3829050" cy="142875"/>
          <a:chOff x="3431475" y="3780000"/>
          <a:chExt cx="3829050" cy="0"/>
        </a:xfrm>
      </xdr:grpSpPr>
      <xdr:cxnSp macro="">
        <xdr:nvCxnSpPr>
          <xdr:cNvPr id="1462937473" name="Shape 60">
            <a:extLst>
              <a:ext uri="{FF2B5EF4-FFF2-40B4-BE49-F238E27FC236}">
                <a16:creationId xmlns:a16="http://schemas.microsoft.com/office/drawing/2014/main" id="{00000000-0008-0000-0000-000081A73257}"/>
              </a:ext>
            </a:extLst>
          </xdr:cNvPr>
          <xdr:cNvCxnSpPr/>
        </xdr:nvCxnSpPr>
        <xdr:spPr>
          <a:xfrm>
            <a:off x="3431475" y="3780000"/>
            <a:ext cx="382905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23</xdr:col>
      <xdr:colOff>0</xdr:colOff>
      <xdr:row>97</xdr:row>
      <xdr:rowOff>0</xdr:rowOff>
    </xdr:from>
    <xdr:ext cx="2286000" cy="142875"/>
    <xdr:grpSp>
      <xdr:nvGrpSpPr>
        <xdr:cNvPr id="1462937474" name="Shape 2">
          <a:extLst>
            <a:ext uri="{FF2B5EF4-FFF2-40B4-BE49-F238E27FC236}">
              <a16:creationId xmlns:a16="http://schemas.microsoft.com/office/drawing/2014/main" id="{00000000-0008-0000-0000-000082A73257}"/>
            </a:ext>
          </a:extLst>
        </xdr:cNvPr>
        <xdr:cNvGrpSpPr/>
      </xdr:nvGrpSpPr>
      <xdr:grpSpPr>
        <a:xfrm rot="237544">
          <a:off x="10908393" y="9275536"/>
          <a:ext cx="2286000" cy="142875"/>
          <a:chOff x="4203000" y="3775238"/>
          <a:chExt cx="2286000" cy="9525"/>
        </a:xfrm>
      </xdr:grpSpPr>
      <xdr:cxnSp macro="">
        <xdr:nvCxnSpPr>
          <xdr:cNvPr id="1462937475" name="Shape 61">
            <a:extLst>
              <a:ext uri="{FF2B5EF4-FFF2-40B4-BE49-F238E27FC236}">
                <a16:creationId xmlns:a16="http://schemas.microsoft.com/office/drawing/2014/main" id="{00000000-0008-0000-0000-000083A73257}"/>
              </a:ext>
            </a:extLst>
          </xdr:cNvPr>
          <xdr:cNvCxnSpPr/>
        </xdr:nvCxnSpPr>
        <xdr:spPr>
          <a:xfrm rot="10800000" flipH="1">
            <a:off x="4203000" y="3775238"/>
            <a:ext cx="2286000" cy="9525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30</xdr:col>
      <xdr:colOff>381000</xdr:colOff>
      <xdr:row>111</xdr:row>
      <xdr:rowOff>9525</xdr:rowOff>
    </xdr:from>
    <xdr:ext cx="5334000" cy="142875"/>
    <xdr:grpSp>
      <xdr:nvGrpSpPr>
        <xdr:cNvPr id="1462937476" name="Shape 2">
          <a:extLst>
            <a:ext uri="{FF2B5EF4-FFF2-40B4-BE49-F238E27FC236}">
              <a16:creationId xmlns:a16="http://schemas.microsoft.com/office/drawing/2014/main" id="{00000000-0008-0000-0000-000084A73257}"/>
            </a:ext>
          </a:extLst>
        </xdr:cNvPr>
        <xdr:cNvGrpSpPr/>
      </xdr:nvGrpSpPr>
      <xdr:grpSpPr>
        <a:xfrm>
          <a:off x="13454743" y="10713811"/>
          <a:ext cx="5334000" cy="142875"/>
          <a:chOff x="2679000" y="3780000"/>
          <a:chExt cx="5334000" cy="0"/>
        </a:xfrm>
      </xdr:grpSpPr>
      <xdr:cxnSp macro="">
        <xdr:nvCxnSpPr>
          <xdr:cNvPr id="1462937477" name="Shape 27">
            <a:extLst>
              <a:ext uri="{FF2B5EF4-FFF2-40B4-BE49-F238E27FC236}">
                <a16:creationId xmlns:a16="http://schemas.microsoft.com/office/drawing/2014/main" id="{00000000-0008-0000-0000-000085A73257}"/>
              </a:ext>
            </a:extLst>
          </xdr:cNvPr>
          <xdr:cNvCxnSpPr/>
        </xdr:nvCxnSpPr>
        <xdr:spPr>
          <a:xfrm>
            <a:off x="2679000" y="3780000"/>
            <a:ext cx="533400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30</xdr:col>
      <xdr:colOff>381000</xdr:colOff>
      <xdr:row>113</xdr:row>
      <xdr:rowOff>9525</xdr:rowOff>
    </xdr:from>
    <xdr:ext cx="4572000" cy="142875"/>
    <xdr:grpSp>
      <xdr:nvGrpSpPr>
        <xdr:cNvPr id="1462937478" name="Shape 2">
          <a:extLst>
            <a:ext uri="{FF2B5EF4-FFF2-40B4-BE49-F238E27FC236}">
              <a16:creationId xmlns:a16="http://schemas.microsoft.com/office/drawing/2014/main" id="{00000000-0008-0000-0000-000086A73257}"/>
            </a:ext>
          </a:extLst>
        </xdr:cNvPr>
        <xdr:cNvGrpSpPr/>
      </xdr:nvGrpSpPr>
      <xdr:grpSpPr>
        <a:xfrm>
          <a:off x="13454743" y="10917918"/>
          <a:ext cx="4572000" cy="142875"/>
          <a:chOff x="3060000" y="3780000"/>
          <a:chExt cx="4572000" cy="0"/>
        </a:xfrm>
      </xdr:grpSpPr>
      <xdr:cxnSp macro="">
        <xdr:nvCxnSpPr>
          <xdr:cNvPr id="1462937479" name="Shape 62">
            <a:extLst>
              <a:ext uri="{FF2B5EF4-FFF2-40B4-BE49-F238E27FC236}">
                <a16:creationId xmlns:a16="http://schemas.microsoft.com/office/drawing/2014/main" id="{00000000-0008-0000-0000-000087A73257}"/>
              </a:ext>
            </a:extLst>
          </xdr:cNvPr>
          <xdr:cNvCxnSpPr/>
        </xdr:nvCxnSpPr>
        <xdr:spPr>
          <a:xfrm>
            <a:off x="3060000" y="3780000"/>
            <a:ext cx="457200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27</xdr:col>
      <xdr:colOff>9525</xdr:colOff>
      <xdr:row>173</xdr:row>
      <xdr:rowOff>0</xdr:rowOff>
    </xdr:from>
    <xdr:ext cx="9448800" cy="142875"/>
    <xdr:grpSp>
      <xdr:nvGrpSpPr>
        <xdr:cNvPr id="1462937480" name="Shape 2">
          <a:extLst>
            <a:ext uri="{FF2B5EF4-FFF2-40B4-BE49-F238E27FC236}">
              <a16:creationId xmlns:a16="http://schemas.microsoft.com/office/drawing/2014/main" id="{00000000-0008-0000-0000-000088A73257}"/>
            </a:ext>
          </a:extLst>
        </xdr:cNvPr>
        <xdr:cNvGrpSpPr/>
      </xdr:nvGrpSpPr>
      <xdr:grpSpPr>
        <a:xfrm>
          <a:off x="12187918" y="17031607"/>
          <a:ext cx="9448800" cy="142875"/>
          <a:chOff x="621600" y="3780000"/>
          <a:chExt cx="9448800" cy="0"/>
        </a:xfrm>
      </xdr:grpSpPr>
      <xdr:cxnSp macro="">
        <xdr:nvCxnSpPr>
          <xdr:cNvPr id="1462937481" name="Shape 63">
            <a:extLst>
              <a:ext uri="{FF2B5EF4-FFF2-40B4-BE49-F238E27FC236}">
                <a16:creationId xmlns:a16="http://schemas.microsoft.com/office/drawing/2014/main" id="{00000000-0008-0000-0000-000089A73257}"/>
              </a:ext>
            </a:extLst>
          </xdr:cNvPr>
          <xdr:cNvCxnSpPr/>
        </xdr:nvCxnSpPr>
        <xdr:spPr>
          <a:xfrm>
            <a:off x="621600" y="3780000"/>
            <a:ext cx="944880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33</xdr:col>
      <xdr:colOff>0</xdr:colOff>
      <xdr:row>79</xdr:row>
      <xdr:rowOff>9525</xdr:rowOff>
    </xdr:from>
    <xdr:ext cx="1057275" cy="142875"/>
    <xdr:grpSp>
      <xdr:nvGrpSpPr>
        <xdr:cNvPr id="1462937482" name="Shape 2">
          <a:extLst>
            <a:ext uri="{FF2B5EF4-FFF2-40B4-BE49-F238E27FC236}">
              <a16:creationId xmlns:a16="http://schemas.microsoft.com/office/drawing/2014/main" id="{00000000-0008-0000-0000-00008AA73257}"/>
            </a:ext>
          </a:extLst>
        </xdr:cNvPr>
        <xdr:cNvGrpSpPr/>
      </xdr:nvGrpSpPr>
      <xdr:grpSpPr>
        <a:xfrm>
          <a:off x="14083393" y="7448096"/>
          <a:ext cx="1057275" cy="142875"/>
          <a:chOff x="4817363" y="3780000"/>
          <a:chExt cx="1057275" cy="0"/>
        </a:xfrm>
      </xdr:grpSpPr>
      <xdr:cxnSp macro="">
        <xdr:nvCxnSpPr>
          <xdr:cNvPr id="64" name="Shape 64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CxnSpPr/>
        </xdr:nvCxnSpPr>
        <xdr:spPr>
          <a:xfrm>
            <a:off x="4817363" y="3780000"/>
            <a:ext cx="1057275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33</xdr:col>
      <xdr:colOff>0</xdr:colOff>
      <xdr:row>59</xdr:row>
      <xdr:rowOff>-66675</xdr:rowOff>
    </xdr:from>
    <xdr:ext cx="762000" cy="142875"/>
    <xdr:grpSp>
      <xdr:nvGrpSpPr>
        <xdr:cNvPr id="1462937483" name="Shape 2">
          <a:extLst>
            <a:ext uri="{FF2B5EF4-FFF2-40B4-BE49-F238E27FC236}">
              <a16:creationId xmlns:a16="http://schemas.microsoft.com/office/drawing/2014/main" id="{00000000-0008-0000-0000-00008BA73257}"/>
            </a:ext>
          </a:extLst>
        </xdr:cNvPr>
        <xdr:cNvGrpSpPr/>
      </xdr:nvGrpSpPr>
      <xdr:grpSpPr>
        <a:xfrm>
          <a:off x="14083393" y="7371896"/>
          <a:ext cx="762000" cy="142875"/>
          <a:chOff x="4965000" y="3780000"/>
          <a:chExt cx="762000" cy="0"/>
        </a:xfrm>
      </xdr:grpSpPr>
      <xdr:cxnSp macro="">
        <xdr:nvCxnSpPr>
          <xdr:cNvPr id="65" name="Shape 65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CxnSpPr/>
        </xdr:nvCxnSpPr>
        <xdr:spPr>
          <a:xfrm>
            <a:off x="4965000" y="3780000"/>
            <a:ext cx="762000" cy="0"/>
          </a:xfrm>
          <a:prstGeom prst="straightConnector1">
            <a:avLst/>
          </a:prstGeom>
          <a:noFill/>
          <a:ln w="149225" cap="flat" cmpd="sng">
            <a:solidFill>
              <a:srgbClr val="0066FF">
                <a:alpha val="85098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26</xdr:col>
      <xdr:colOff>361950</xdr:colOff>
      <xdr:row>93</xdr:row>
      <xdr:rowOff>9525</xdr:rowOff>
    </xdr:from>
    <xdr:ext cx="4591050" cy="142875"/>
    <xdr:grpSp>
      <xdr:nvGrpSpPr>
        <xdr:cNvPr id="1462937484" name="Shape 2">
          <a:extLst>
            <a:ext uri="{FF2B5EF4-FFF2-40B4-BE49-F238E27FC236}">
              <a16:creationId xmlns:a16="http://schemas.microsoft.com/office/drawing/2014/main" id="{00000000-0008-0000-0000-00008CA73257}"/>
            </a:ext>
          </a:extLst>
        </xdr:cNvPr>
        <xdr:cNvGrpSpPr/>
      </xdr:nvGrpSpPr>
      <xdr:grpSpPr>
        <a:xfrm>
          <a:off x="12184743" y="8876846"/>
          <a:ext cx="4591050" cy="142875"/>
          <a:chOff x="3050475" y="3780000"/>
          <a:chExt cx="4591050" cy="0"/>
        </a:xfrm>
      </xdr:grpSpPr>
      <xdr:cxnSp macro="">
        <xdr:nvCxnSpPr>
          <xdr:cNvPr id="66" name="Shape 6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CxnSpPr/>
        </xdr:nvCxnSpPr>
        <xdr:spPr>
          <a:xfrm>
            <a:off x="3050475" y="3780000"/>
            <a:ext cx="459105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54</xdr:col>
      <xdr:colOff>0</xdr:colOff>
      <xdr:row>181</xdr:row>
      <xdr:rowOff>9525</xdr:rowOff>
    </xdr:from>
    <xdr:ext cx="542925" cy="142875"/>
    <xdr:grpSp>
      <xdr:nvGrpSpPr>
        <xdr:cNvPr id="1462937485" name="Shape 2">
          <a:extLst>
            <a:ext uri="{FF2B5EF4-FFF2-40B4-BE49-F238E27FC236}">
              <a16:creationId xmlns:a16="http://schemas.microsoft.com/office/drawing/2014/main" id="{00000000-0008-0000-0000-00008DA73257}"/>
            </a:ext>
          </a:extLst>
        </xdr:cNvPr>
        <xdr:cNvGrpSpPr/>
      </xdr:nvGrpSpPr>
      <xdr:grpSpPr>
        <a:xfrm>
          <a:off x="20524107" y="17857561"/>
          <a:ext cx="542925" cy="142875"/>
          <a:chOff x="5074538" y="3780000"/>
          <a:chExt cx="542925" cy="0"/>
        </a:xfrm>
      </xdr:grpSpPr>
      <xdr:cxnSp macro="">
        <xdr:nvCxnSpPr>
          <xdr:cNvPr id="67" name="Shape 67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w="149225" cap="flat" cmpd="sng">
            <a:solidFill>
              <a:srgbClr val="0066FF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45</xdr:col>
      <xdr:colOff>0</xdr:colOff>
      <xdr:row>179</xdr:row>
      <xdr:rowOff>0</xdr:rowOff>
    </xdr:from>
    <xdr:ext cx="1905000" cy="142875"/>
    <xdr:grpSp>
      <xdr:nvGrpSpPr>
        <xdr:cNvPr id="1462937486" name="Shape 2">
          <a:extLst>
            <a:ext uri="{FF2B5EF4-FFF2-40B4-BE49-F238E27FC236}">
              <a16:creationId xmlns:a16="http://schemas.microsoft.com/office/drawing/2014/main" id="{00000000-0008-0000-0000-00008EA73257}"/>
            </a:ext>
          </a:extLst>
        </xdr:cNvPr>
        <xdr:cNvGrpSpPr/>
      </xdr:nvGrpSpPr>
      <xdr:grpSpPr>
        <a:xfrm>
          <a:off x="17893393" y="17643929"/>
          <a:ext cx="1905000" cy="142875"/>
          <a:chOff x="4393500" y="3780000"/>
          <a:chExt cx="1905000" cy="0"/>
        </a:xfrm>
      </xdr:grpSpPr>
      <xdr:cxnSp macro="">
        <xdr:nvCxnSpPr>
          <xdr:cNvPr id="68" name="Shape 68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CxnSpPr/>
        </xdr:nvCxnSpPr>
        <xdr:spPr>
          <a:xfrm>
            <a:off x="4393500" y="3780000"/>
            <a:ext cx="190500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37</xdr:col>
      <xdr:colOff>9525</xdr:colOff>
      <xdr:row>105</xdr:row>
      <xdr:rowOff>9525</xdr:rowOff>
    </xdr:from>
    <xdr:ext cx="3048000" cy="142875"/>
    <xdr:grpSp>
      <xdr:nvGrpSpPr>
        <xdr:cNvPr id="1462937487" name="Shape 2">
          <a:extLst>
            <a:ext uri="{FF2B5EF4-FFF2-40B4-BE49-F238E27FC236}">
              <a16:creationId xmlns:a16="http://schemas.microsoft.com/office/drawing/2014/main" id="{00000000-0008-0000-0000-00008FA73257}"/>
            </a:ext>
          </a:extLst>
        </xdr:cNvPr>
        <xdr:cNvGrpSpPr/>
      </xdr:nvGrpSpPr>
      <xdr:grpSpPr>
        <a:xfrm>
          <a:off x="15362918" y="10101489"/>
          <a:ext cx="3048000" cy="142875"/>
          <a:chOff x="3822000" y="3780000"/>
          <a:chExt cx="3048000" cy="0"/>
        </a:xfrm>
      </xdr:grpSpPr>
      <xdr:cxnSp macro="">
        <xdr:nvCxnSpPr>
          <xdr:cNvPr id="69" name="Shape 69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CxnSpPr/>
        </xdr:nvCxnSpPr>
        <xdr:spPr>
          <a:xfrm>
            <a:off x="3822000" y="3780000"/>
            <a:ext cx="304800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30</xdr:col>
      <xdr:colOff>9525</xdr:colOff>
      <xdr:row>37</xdr:row>
      <xdr:rowOff>9525</xdr:rowOff>
    </xdr:from>
    <xdr:ext cx="1123950" cy="142875"/>
    <xdr:grpSp>
      <xdr:nvGrpSpPr>
        <xdr:cNvPr id="1462937488" name="Shape 2">
          <a:extLst>
            <a:ext uri="{FF2B5EF4-FFF2-40B4-BE49-F238E27FC236}">
              <a16:creationId xmlns:a16="http://schemas.microsoft.com/office/drawing/2014/main" id="{00000000-0008-0000-0000-000090A73257}"/>
            </a:ext>
          </a:extLst>
        </xdr:cNvPr>
        <xdr:cNvGrpSpPr/>
      </xdr:nvGrpSpPr>
      <xdr:grpSpPr>
        <a:xfrm>
          <a:off x="13140418" y="5202918"/>
          <a:ext cx="1123950" cy="142875"/>
          <a:chOff x="4784025" y="3780000"/>
          <a:chExt cx="1123950" cy="0"/>
        </a:xfrm>
      </xdr:grpSpPr>
      <xdr:cxnSp macro="">
        <xdr:nvCxnSpPr>
          <xdr:cNvPr id="70" name="Shape 70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CxnSpPr/>
        </xdr:nvCxnSpPr>
        <xdr:spPr>
          <a:xfrm>
            <a:off x="4784025" y="3780000"/>
            <a:ext cx="1123950" cy="0"/>
          </a:xfrm>
          <a:prstGeom prst="straightConnector1">
            <a:avLst/>
          </a:prstGeom>
          <a:noFill/>
          <a:ln w="149225" cap="flat" cmpd="sng">
            <a:solidFill>
              <a:srgbClr val="558ED5">
                <a:alpha val="80000"/>
              </a:srgbClr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16</xdr:col>
      <xdr:colOff>-19050</xdr:colOff>
      <xdr:row>19</xdr:row>
      <xdr:rowOff>161925</xdr:rowOff>
    </xdr:from>
    <xdr:ext cx="38100" cy="209550"/>
    <xdr:sp macro="" textlink="">
      <xdr:nvSpPr>
        <xdr:cNvPr id="1462937490" name="Shape 3">
          <a:extLst>
            <a:ext uri="{FF2B5EF4-FFF2-40B4-BE49-F238E27FC236}">
              <a16:creationId xmlns:a16="http://schemas.microsoft.com/office/drawing/2014/main" id="{00000000-0008-0000-0000-000092A73257}"/>
            </a:ext>
          </a:extLst>
        </xdr:cNvPr>
        <xdr:cNvSpPr/>
      </xdr:nvSpPr>
      <xdr:spPr>
        <a:xfrm>
          <a:off x="5346000" y="3675225"/>
          <a:ext cx="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52</xdr:col>
      <xdr:colOff>-19050</xdr:colOff>
      <xdr:row>19</xdr:row>
      <xdr:rowOff>161925</xdr:rowOff>
    </xdr:from>
    <xdr:ext cx="38100" cy="209550"/>
    <xdr:sp macro="" textlink="">
      <xdr:nvSpPr>
        <xdr:cNvPr id="1462937491" name="Shape 3">
          <a:extLst>
            <a:ext uri="{FF2B5EF4-FFF2-40B4-BE49-F238E27FC236}">
              <a16:creationId xmlns:a16="http://schemas.microsoft.com/office/drawing/2014/main" id="{00000000-0008-0000-0000-000093A73257}"/>
            </a:ext>
          </a:extLst>
        </xdr:cNvPr>
        <xdr:cNvSpPr/>
      </xdr:nvSpPr>
      <xdr:spPr>
        <a:xfrm>
          <a:off x="5346000" y="3675225"/>
          <a:ext cx="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KRISTINE/Downloads/DLA%20PROGRAM_OF_WORK%20(INTERNAL%20EXTERNAL).xls" TargetMode="External"/><Relationship Id="rId1" Type="http://schemas.openxmlformats.org/officeDocument/2006/relationships/externalLinkPath" Target="/Users/KRISTINE/Downloads/DLA%20PROGRAM_OF_WORK%20(INTERNAL%20EXTERNAL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LA PROJ"/>
      <sheetName val="DLA PROJ (2)"/>
      <sheetName val="GENERAL SCHED INternal DCI"/>
      <sheetName val="RMC SCHED"/>
      <sheetName val="Priced BOQ"/>
      <sheetName val="GENERAL SCHED EXTERNAL DLA"/>
      <sheetName val="GENERAL SCHED EXTERNAL (Cadjet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DL1000"/>
  <sheetViews>
    <sheetView tabSelected="1" zoomScale="42" zoomScaleNormal="85" workbookViewId="0">
      <selection activeCell="P25" sqref="P25"/>
    </sheetView>
  </sheetViews>
  <sheetFormatPr defaultColWidth="0" defaultRowHeight="15" customHeight="1" zeroHeight="1" outlineLevelCol="1" x14ac:dyDescent="0.2"/>
  <cols>
    <col min="1" max="1" width="8.33203125" customWidth="1"/>
    <col min="2" max="7" width="6.5" customWidth="1"/>
    <col min="8" max="8" width="22.6640625" customWidth="1"/>
    <col min="9" max="9" width="6.5" customWidth="1"/>
    <col min="10" max="10" width="13.83203125" customWidth="1"/>
    <col min="11" max="11" width="7" customWidth="1"/>
    <col min="12" max="13" width="14.1640625" customWidth="1"/>
    <col min="14" max="14" width="14.33203125" customWidth="1"/>
    <col min="15" max="15" width="10.5" customWidth="1"/>
    <col min="16" max="17" width="6.5" customWidth="1"/>
    <col min="18" max="19" width="3.1640625" customWidth="1"/>
    <col min="20" max="43" width="5.6640625" customWidth="1"/>
    <col min="44" max="49" width="5.6640625" customWidth="1" outlineLevel="1"/>
    <col min="50" max="50" width="5.6640625" customWidth="1"/>
    <col min="51" max="53" width="5.6640625" customWidth="1" outlineLevel="1"/>
    <col min="54" max="54" width="1.5" customWidth="1" outlineLevel="1"/>
    <col min="55" max="55" width="7.83203125" customWidth="1" outlineLevel="1"/>
    <col min="56" max="56" width="8.5" customWidth="1"/>
    <col min="57" max="57" width="9.6640625" customWidth="1"/>
    <col min="58" max="59" width="9.83203125" customWidth="1"/>
    <col min="60" max="88" width="9.33203125" customWidth="1"/>
    <col min="89" max="116" width="9.33203125" hidden="1"/>
    <col min="117" max="16384" width="14.5" hidden="1"/>
  </cols>
  <sheetData>
    <row r="1" spans="1:116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2"/>
      <c r="K1" s="3"/>
      <c r="L1" s="4"/>
      <c r="M1" s="4"/>
      <c r="N1" s="4"/>
      <c r="O1" s="5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</row>
    <row r="2" spans="1:116" ht="12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2"/>
      <c r="K2" s="3"/>
      <c r="L2" s="4"/>
      <c r="M2" s="4"/>
      <c r="N2" s="4"/>
      <c r="O2" s="5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</row>
    <row r="3" spans="1:116" ht="12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2"/>
      <c r="K3" s="3"/>
      <c r="L3" s="4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</row>
    <row r="4" spans="1:116" ht="12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2"/>
      <c r="K4" s="3"/>
      <c r="L4" s="4"/>
      <c r="M4" s="4"/>
      <c r="N4" s="4"/>
      <c r="O4" s="5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</row>
    <row r="5" spans="1:116" ht="12.75" customHeight="1" x14ac:dyDescent="0.2">
      <c r="A5" s="1"/>
      <c r="B5" s="1"/>
      <c r="C5" s="1"/>
      <c r="D5" s="1"/>
      <c r="E5" s="1"/>
      <c r="F5" s="1"/>
      <c r="G5" s="1"/>
      <c r="H5" s="1"/>
      <c r="I5" s="1"/>
      <c r="J5" s="2"/>
      <c r="K5" s="3"/>
      <c r="L5" s="4"/>
      <c r="M5" s="4"/>
      <c r="N5" s="4"/>
      <c r="O5" s="5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</row>
    <row r="6" spans="1:116" ht="12.75" customHeight="1" x14ac:dyDescent="0.2">
      <c r="A6" s="1"/>
      <c r="B6" s="1"/>
      <c r="C6" s="1"/>
      <c r="D6" s="1"/>
      <c r="E6" s="1"/>
      <c r="F6" s="1"/>
      <c r="G6" s="1"/>
      <c r="H6" s="1"/>
      <c r="I6" s="1"/>
      <c r="J6" s="2"/>
      <c r="K6" s="3"/>
      <c r="L6" s="4"/>
      <c r="M6" s="4"/>
      <c r="N6" s="4"/>
      <c r="O6" s="5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</row>
    <row r="7" spans="1:116" ht="12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2"/>
      <c r="K7" s="3"/>
      <c r="L7" s="4"/>
      <c r="M7" s="4"/>
      <c r="N7" s="4"/>
      <c r="O7" s="5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</row>
    <row r="8" spans="1:116" ht="12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2"/>
      <c r="K8" s="3"/>
      <c r="L8" s="4"/>
      <c r="M8" s="4"/>
      <c r="N8" s="4"/>
      <c r="O8" s="5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</row>
    <row r="9" spans="1:116" ht="19.5" customHeight="1" x14ac:dyDescent="0.3">
      <c r="A9" s="6" t="s">
        <v>0</v>
      </c>
      <c r="B9" s="7"/>
      <c r="C9" s="7" t="s">
        <v>1</v>
      </c>
      <c r="D9" s="8"/>
      <c r="E9" s="1"/>
      <c r="F9" s="1"/>
      <c r="G9" s="1"/>
      <c r="H9" s="1"/>
      <c r="I9" s="1"/>
      <c r="J9" s="2"/>
      <c r="K9" s="3"/>
      <c r="L9" s="4"/>
      <c r="M9" s="4"/>
      <c r="N9" s="4"/>
      <c r="O9" s="5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</row>
    <row r="10" spans="1:116" ht="12.75" customHeight="1" x14ac:dyDescent="0.25">
      <c r="A10" s="6" t="s">
        <v>2</v>
      </c>
      <c r="B10" s="7"/>
      <c r="C10" s="7" t="s">
        <v>1</v>
      </c>
      <c r="D10" s="6"/>
      <c r="E10" s="1"/>
      <c r="F10" s="1"/>
      <c r="G10" s="1"/>
      <c r="H10" s="1"/>
      <c r="I10" s="1"/>
      <c r="J10" s="2"/>
      <c r="K10" s="3"/>
      <c r="L10" s="4"/>
      <c r="M10" s="4"/>
      <c r="N10" s="4"/>
      <c r="O10" s="5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</row>
    <row r="11" spans="1:116" ht="12.75" customHeight="1" x14ac:dyDescent="0.25">
      <c r="A11" s="6" t="s">
        <v>3</v>
      </c>
      <c r="B11" s="7"/>
      <c r="C11" s="7" t="s">
        <v>1</v>
      </c>
      <c r="D11" s="6"/>
      <c r="E11" s="1"/>
      <c r="F11" s="1"/>
      <c r="G11" s="1"/>
      <c r="H11" s="1"/>
      <c r="I11" s="1"/>
      <c r="J11" s="2"/>
      <c r="K11" s="3"/>
      <c r="L11" s="4"/>
      <c r="M11" s="4"/>
      <c r="N11" s="4"/>
      <c r="O11" s="5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</row>
    <row r="12" spans="1:116" ht="12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2"/>
      <c r="K12" s="3"/>
      <c r="L12" s="4"/>
      <c r="M12" s="4"/>
      <c r="N12" s="4"/>
      <c r="O12" s="5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</row>
    <row r="13" spans="1:116" ht="9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2"/>
      <c r="K13" s="3"/>
      <c r="L13" s="4"/>
      <c r="M13" s="4"/>
      <c r="N13" s="4"/>
      <c r="O13" s="5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</row>
    <row r="14" spans="1:116" ht="34.5" customHeight="1" x14ac:dyDescent="0.5">
      <c r="A14" s="9" t="s">
        <v>4</v>
      </c>
      <c r="B14" s="10"/>
      <c r="C14" s="10"/>
      <c r="D14" s="10"/>
      <c r="E14" s="10"/>
      <c r="F14" s="10"/>
      <c r="G14" s="10"/>
      <c r="H14" s="10"/>
      <c r="I14" s="1"/>
      <c r="J14" s="2"/>
      <c r="K14" s="3"/>
      <c r="L14" s="4"/>
      <c r="M14" s="4"/>
      <c r="N14" s="4"/>
      <c r="O14" s="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</row>
    <row r="15" spans="1:116" ht="15" customHeight="1" x14ac:dyDescent="0.2">
      <c r="A15" s="11"/>
      <c r="B15" s="12"/>
      <c r="C15" s="12"/>
      <c r="D15" s="12"/>
      <c r="E15" s="12"/>
      <c r="F15" s="12"/>
      <c r="G15" s="12"/>
      <c r="H15" s="12"/>
      <c r="I15" s="13"/>
      <c r="J15" s="14"/>
      <c r="K15" s="15"/>
      <c r="L15" s="14"/>
      <c r="M15" s="14"/>
      <c r="N15" s="14"/>
      <c r="O15" s="16"/>
      <c r="P15" s="13"/>
      <c r="Q15" s="13"/>
      <c r="R15" s="13"/>
      <c r="S15" s="17"/>
      <c r="T15" s="299" t="s">
        <v>5</v>
      </c>
      <c r="U15" s="295"/>
      <c r="V15" s="295"/>
      <c r="W15" s="296"/>
      <c r="X15" s="294" t="s">
        <v>6</v>
      </c>
      <c r="Y15" s="295"/>
      <c r="Z15" s="295"/>
      <c r="AA15" s="296"/>
      <c r="AB15" s="294" t="s">
        <v>7</v>
      </c>
      <c r="AC15" s="295"/>
      <c r="AD15" s="295"/>
      <c r="AE15" s="295"/>
      <c r="AF15" s="296"/>
      <c r="AG15" s="294" t="s">
        <v>8</v>
      </c>
      <c r="AH15" s="295"/>
      <c r="AI15" s="295"/>
      <c r="AJ15" s="296"/>
      <c r="AK15" s="294" t="s">
        <v>9</v>
      </c>
      <c r="AL15" s="295"/>
      <c r="AM15" s="295"/>
      <c r="AN15" s="296"/>
      <c r="AO15" s="294" t="s">
        <v>10</v>
      </c>
      <c r="AP15" s="295"/>
      <c r="AQ15" s="295"/>
      <c r="AR15" s="296"/>
      <c r="AS15" s="294" t="s">
        <v>11</v>
      </c>
      <c r="AT15" s="295"/>
      <c r="AU15" s="295"/>
      <c r="AV15" s="295"/>
      <c r="AW15" s="296"/>
      <c r="AX15" s="294" t="s">
        <v>12</v>
      </c>
      <c r="AY15" s="295"/>
      <c r="AZ15" s="295"/>
      <c r="BA15" s="295"/>
      <c r="BB15" s="296"/>
      <c r="BC15" s="18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</row>
    <row r="16" spans="1:116" ht="19.5" customHeight="1" x14ac:dyDescent="0.2">
      <c r="A16" s="300" t="s">
        <v>13</v>
      </c>
      <c r="B16" s="302" t="s">
        <v>14</v>
      </c>
      <c r="C16" s="303"/>
      <c r="D16" s="303"/>
      <c r="E16" s="303"/>
      <c r="F16" s="303"/>
      <c r="G16" s="303"/>
      <c r="H16" s="304"/>
      <c r="I16" s="308" t="s">
        <v>15</v>
      </c>
      <c r="J16" s="297" t="s">
        <v>16</v>
      </c>
      <c r="K16" s="309" t="s">
        <v>17</v>
      </c>
      <c r="L16" s="297" t="s">
        <v>18</v>
      </c>
      <c r="M16" s="297" t="s">
        <v>19</v>
      </c>
      <c r="N16" s="297" t="s">
        <v>18</v>
      </c>
      <c r="O16" s="297" t="s">
        <v>20</v>
      </c>
      <c r="P16" s="310">
        <v>40461</v>
      </c>
      <c r="Q16" s="295"/>
      <c r="R16" s="295"/>
      <c r="S16" s="295"/>
      <c r="T16" s="296"/>
      <c r="U16" s="310">
        <v>40483</v>
      </c>
      <c r="V16" s="295"/>
      <c r="W16" s="295"/>
      <c r="X16" s="295"/>
      <c r="Y16" s="296"/>
      <c r="Z16" s="310">
        <v>40522</v>
      </c>
      <c r="AA16" s="295"/>
      <c r="AB16" s="295"/>
      <c r="AC16" s="296"/>
      <c r="AD16" s="310">
        <v>40544</v>
      </c>
      <c r="AE16" s="295"/>
      <c r="AF16" s="295"/>
      <c r="AG16" s="312"/>
      <c r="AH16" s="310">
        <v>40575</v>
      </c>
      <c r="AI16" s="295"/>
      <c r="AJ16" s="295"/>
      <c r="AK16" s="296"/>
      <c r="AL16" s="313">
        <v>40603</v>
      </c>
      <c r="AM16" s="295"/>
      <c r="AN16" s="295"/>
      <c r="AO16" s="296"/>
      <c r="AP16" s="310">
        <v>40634</v>
      </c>
      <c r="AQ16" s="295"/>
      <c r="AR16" s="295"/>
      <c r="AS16" s="312"/>
      <c r="AT16" s="310">
        <v>40664</v>
      </c>
      <c r="AU16" s="295"/>
      <c r="AV16" s="295"/>
      <c r="AW16" s="295"/>
      <c r="AX16" s="296"/>
      <c r="AY16" s="310">
        <v>40695</v>
      </c>
      <c r="AZ16" s="295"/>
      <c r="BA16" s="295"/>
      <c r="BB16" s="295"/>
      <c r="BC16" s="296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</row>
    <row r="17" spans="1:116" ht="12.75" customHeight="1" x14ac:dyDescent="0.2">
      <c r="A17" s="301"/>
      <c r="B17" s="305"/>
      <c r="C17" s="306"/>
      <c r="D17" s="306"/>
      <c r="E17" s="306"/>
      <c r="F17" s="306"/>
      <c r="G17" s="306"/>
      <c r="H17" s="307"/>
      <c r="I17" s="301"/>
      <c r="J17" s="298"/>
      <c r="K17" s="298"/>
      <c r="L17" s="298"/>
      <c r="M17" s="298"/>
      <c r="N17" s="298"/>
      <c r="O17" s="298"/>
      <c r="P17" s="20" t="s">
        <v>21</v>
      </c>
      <c r="Q17" s="20" t="s">
        <v>22</v>
      </c>
      <c r="R17" s="311" t="s">
        <v>23</v>
      </c>
      <c r="S17" s="296"/>
      <c r="T17" s="20" t="s">
        <v>24</v>
      </c>
      <c r="U17" s="21" t="s">
        <v>25</v>
      </c>
      <c r="V17" s="21" t="s">
        <v>26</v>
      </c>
      <c r="W17" s="21" t="s">
        <v>27</v>
      </c>
      <c r="X17" s="21" t="s">
        <v>28</v>
      </c>
      <c r="Y17" s="21" t="s">
        <v>29</v>
      </c>
      <c r="Z17" s="21" t="s">
        <v>30</v>
      </c>
      <c r="AA17" s="21" t="s">
        <v>31</v>
      </c>
      <c r="AB17" s="21" t="s">
        <v>32</v>
      </c>
      <c r="AC17" s="21" t="s">
        <v>33</v>
      </c>
      <c r="AD17" s="21" t="s">
        <v>34</v>
      </c>
      <c r="AE17" s="21" t="s">
        <v>35</v>
      </c>
      <c r="AF17" s="21" t="s">
        <v>36</v>
      </c>
      <c r="AG17" s="22" t="s">
        <v>37</v>
      </c>
      <c r="AH17" s="21" t="s">
        <v>38</v>
      </c>
      <c r="AI17" s="21" t="s">
        <v>39</v>
      </c>
      <c r="AJ17" s="21" t="s">
        <v>40</v>
      </c>
      <c r="AK17" s="21" t="s">
        <v>41</v>
      </c>
      <c r="AL17" s="23" t="s">
        <v>42</v>
      </c>
      <c r="AM17" s="21" t="s">
        <v>39</v>
      </c>
      <c r="AN17" s="21" t="s">
        <v>40</v>
      </c>
      <c r="AO17" s="21" t="s">
        <v>41</v>
      </c>
      <c r="AP17" s="21" t="s">
        <v>43</v>
      </c>
      <c r="AQ17" s="21" t="s">
        <v>21</v>
      </c>
      <c r="AR17" s="21" t="s">
        <v>22</v>
      </c>
      <c r="AS17" s="21" t="s">
        <v>23</v>
      </c>
      <c r="AT17" s="21" t="s">
        <v>44</v>
      </c>
      <c r="AU17" s="21" t="s">
        <v>45</v>
      </c>
      <c r="AV17" s="21" t="s">
        <v>46</v>
      </c>
      <c r="AW17" s="21" t="s">
        <v>47</v>
      </c>
      <c r="AX17" s="21" t="s">
        <v>48</v>
      </c>
      <c r="AY17" s="21" t="s">
        <v>49</v>
      </c>
      <c r="AZ17" s="21" t="s">
        <v>30</v>
      </c>
      <c r="BA17" s="21" t="s">
        <v>31</v>
      </c>
      <c r="BB17" s="311" t="s">
        <v>50</v>
      </c>
      <c r="BC17" s="296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</row>
    <row r="18" spans="1:116" ht="12.75" customHeight="1" x14ac:dyDescent="0.2">
      <c r="A18" s="24">
        <v>1000</v>
      </c>
      <c r="B18" s="25" t="s">
        <v>51</v>
      </c>
      <c r="C18" s="26"/>
      <c r="D18" s="26"/>
      <c r="E18" s="26"/>
      <c r="F18" s="26"/>
      <c r="G18" s="26"/>
      <c r="H18" s="27"/>
      <c r="I18" s="28"/>
      <c r="J18" s="29"/>
      <c r="K18" s="30"/>
      <c r="L18" s="31"/>
      <c r="M18" s="31"/>
      <c r="N18" s="32"/>
      <c r="O18" s="33"/>
      <c r="P18" s="34"/>
      <c r="Q18" s="35"/>
      <c r="R18" s="314"/>
      <c r="S18" s="315"/>
      <c r="T18" s="36"/>
      <c r="U18" s="37"/>
      <c r="V18" s="38"/>
      <c r="W18" s="38"/>
      <c r="X18" s="38"/>
      <c r="Y18" s="39"/>
      <c r="Z18" s="40"/>
      <c r="AA18" s="38"/>
      <c r="AB18" s="38"/>
      <c r="AC18" s="39"/>
      <c r="AD18" s="40"/>
      <c r="AE18" s="38"/>
      <c r="AF18" s="38"/>
      <c r="AG18" s="39"/>
      <c r="AH18" s="40"/>
      <c r="AI18" s="38"/>
      <c r="AJ18" s="38"/>
      <c r="AK18" s="39"/>
      <c r="AL18" s="40"/>
      <c r="AM18" s="38"/>
      <c r="AN18" s="38"/>
      <c r="AO18" s="39"/>
      <c r="AP18" s="40"/>
      <c r="AQ18" s="38"/>
      <c r="AR18" s="38"/>
      <c r="AS18" s="39"/>
      <c r="AT18" s="40"/>
      <c r="AU18" s="38"/>
      <c r="AV18" s="38"/>
      <c r="AW18" s="38"/>
      <c r="AX18" s="41"/>
      <c r="AY18" s="40"/>
      <c r="AZ18" s="38"/>
      <c r="BA18" s="38"/>
      <c r="BB18" s="38"/>
      <c r="BC18" s="39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</row>
    <row r="19" spans="1:116" ht="3.75" customHeight="1" x14ac:dyDescent="0.2">
      <c r="A19" s="42"/>
      <c r="B19" s="43"/>
      <c r="C19" s="44"/>
      <c r="D19" s="44"/>
      <c r="E19" s="44"/>
      <c r="F19" s="44"/>
      <c r="G19" s="44"/>
      <c r="H19" s="45"/>
      <c r="I19" s="46"/>
      <c r="J19" s="46"/>
      <c r="K19" s="46"/>
      <c r="L19" s="47"/>
      <c r="M19" s="47"/>
      <c r="N19" s="48"/>
      <c r="O19" s="48"/>
      <c r="P19" s="49"/>
      <c r="Q19" s="50"/>
      <c r="R19" s="316"/>
      <c r="S19" s="317"/>
      <c r="T19" s="51"/>
      <c r="U19" s="52"/>
      <c r="V19" s="53"/>
      <c r="W19" s="53"/>
      <c r="X19" s="53"/>
      <c r="Y19" s="51"/>
      <c r="Z19" s="52"/>
      <c r="AA19" s="53"/>
      <c r="AB19" s="53"/>
      <c r="AC19" s="51"/>
      <c r="AD19" s="52"/>
      <c r="AE19" s="53"/>
      <c r="AF19" s="53"/>
      <c r="AG19" s="51"/>
      <c r="AH19" s="52"/>
      <c r="AI19" s="53"/>
      <c r="AJ19" s="53"/>
      <c r="AK19" s="51"/>
      <c r="AL19" s="52"/>
      <c r="AM19" s="53"/>
      <c r="AN19" s="53"/>
      <c r="AO19" s="51"/>
      <c r="AP19" s="52"/>
      <c r="AQ19" s="53"/>
      <c r="AR19" s="53"/>
      <c r="AS19" s="51"/>
      <c r="AT19" s="52"/>
      <c r="AU19" s="53"/>
      <c r="AV19" s="53"/>
      <c r="AW19" s="53"/>
      <c r="AX19" s="54"/>
      <c r="AY19" s="52"/>
      <c r="AZ19" s="53"/>
      <c r="BA19" s="53"/>
      <c r="BB19" s="53"/>
      <c r="BC19" s="51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55"/>
      <c r="CM19" s="55"/>
      <c r="CN19" s="55"/>
      <c r="CO19" s="55"/>
      <c r="CP19" s="55"/>
      <c r="CQ19" s="55"/>
      <c r="CR19" s="55"/>
      <c r="CS19" s="55"/>
      <c r="CT19" s="55"/>
      <c r="CU19" s="55"/>
      <c r="CV19" s="55"/>
      <c r="CW19" s="55"/>
      <c r="CX19" s="55"/>
      <c r="CY19" s="55"/>
      <c r="CZ19" s="55"/>
      <c r="DA19" s="55"/>
      <c r="DB19" s="55"/>
      <c r="DC19" s="55"/>
      <c r="DD19" s="55"/>
      <c r="DE19" s="55"/>
      <c r="DF19" s="55"/>
      <c r="DG19" s="55"/>
      <c r="DH19" s="55"/>
      <c r="DI19" s="55"/>
      <c r="DJ19" s="55"/>
      <c r="DK19" s="55"/>
      <c r="DL19" s="55"/>
    </row>
    <row r="20" spans="1:116" ht="12.75" customHeight="1" x14ac:dyDescent="0.2">
      <c r="A20" s="56">
        <v>1010</v>
      </c>
      <c r="B20" s="57"/>
      <c r="C20" s="58" t="s">
        <v>52</v>
      </c>
      <c r="D20" s="58"/>
      <c r="E20" s="58"/>
      <c r="F20" s="58"/>
      <c r="G20" s="58"/>
      <c r="H20" s="59"/>
      <c r="I20" s="60"/>
      <c r="J20" s="61"/>
      <c r="K20" s="62" t="s">
        <v>53</v>
      </c>
      <c r="L20" s="63"/>
      <c r="M20" s="63">
        <f t="shared" ref="M20:M27" si="0">L20*4260501/50500000</f>
        <v>0</v>
      </c>
      <c r="N20" s="63">
        <f>L20+M20</f>
        <v>0</v>
      </c>
      <c r="O20" s="64">
        <f>N20/50500000</f>
        <v>0</v>
      </c>
      <c r="P20" s="65">
        <f>$O$20/4</f>
        <v>0</v>
      </c>
      <c r="Q20" s="65">
        <f>P20</f>
        <v>0</v>
      </c>
      <c r="R20" s="318"/>
      <c r="S20" s="319"/>
      <c r="T20" s="67"/>
      <c r="U20" s="68"/>
      <c r="V20" s="69"/>
      <c r="W20" s="69"/>
      <c r="X20" s="69"/>
      <c r="Y20" s="67"/>
      <c r="Z20" s="68"/>
      <c r="AA20" s="69"/>
      <c r="AB20" s="69"/>
      <c r="AC20" s="67"/>
      <c r="AD20" s="68"/>
      <c r="AE20" s="69"/>
      <c r="AF20" s="69"/>
      <c r="AG20" s="67"/>
      <c r="AH20" s="68"/>
      <c r="AI20" s="69"/>
      <c r="AJ20" s="69"/>
      <c r="AK20" s="67"/>
      <c r="AL20" s="68"/>
      <c r="AM20" s="69"/>
      <c r="AN20" s="69"/>
      <c r="AO20" s="67"/>
      <c r="AP20" s="68"/>
      <c r="AQ20" s="69"/>
      <c r="AR20" s="69"/>
      <c r="AS20" s="67"/>
      <c r="AT20" s="68"/>
      <c r="AU20" s="69"/>
      <c r="AV20" s="69"/>
      <c r="AW20" s="69"/>
      <c r="AX20" s="70"/>
      <c r="AY20" s="68"/>
      <c r="AZ20" s="65">
        <f>$O$20/4</f>
        <v>0</v>
      </c>
      <c r="BA20" s="69">
        <f>AZ20</f>
        <v>0</v>
      </c>
      <c r="BB20" s="69"/>
      <c r="BC20" s="67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</row>
    <row r="21" spans="1:116" ht="3.75" customHeight="1" x14ac:dyDescent="0.2">
      <c r="A21" s="71"/>
      <c r="B21" s="72"/>
      <c r="C21" s="73"/>
      <c r="D21" s="73"/>
      <c r="E21" s="73"/>
      <c r="F21" s="73"/>
      <c r="G21" s="73"/>
      <c r="H21" s="74"/>
      <c r="I21" s="75"/>
      <c r="J21" s="76"/>
      <c r="K21" s="77"/>
      <c r="L21" s="78"/>
      <c r="M21" s="63">
        <f t="shared" si="0"/>
        <v>0</v>
      </c>
      <c r="N21" s="63"/>
      <c r="O21" s="64"/>
      <c r="P21" s="79"/>
      <c r="Q21" s="80"/>
      <c r="R21" s="320"/>
      <c r="S21" s="321"/>
      <c r="T21" s="81"/>
      <c r="U21" s="82"/>
      <c r="V21" s="83"/>
      <c r="W21" s="83"/>
      <c r="X21" s="83"/>
      <c r="Y21" s="81"/>
      <c r="Z21" s="82"/>
      <c r="AA21" s="83"/>
      <c r="AB21" s="83"/>
      <c r="AC21" s="81"/>
      <c r="AD21" s="82"/>
      <c r="AE21" s="83"/>
      <c r="AF21" s="83"/>
      <c r="AG21" s="81"/>
      <c r="AH21" s="82"/>
      <c r="AI21" s="83"/>
      <c r="AJ21" s="83"/>
      <c r="AK21" s="81"/>
      <c r="AL21" s="82"/>
      <c r="AM21" s="83"/>
      <c r="AN21" s="83"/>
      <c r="AO21" s="81"/>
      <c r="AP21" s="82"/>
      <c r="AQ21" s="83"/>
      <c r="AR21" s="83"/>
      <c r="AS21" s="81"/>
      <c r="AT21" s="82"/>
      <c r="AU21" s="83"/>
      <c r="AV21" s="83"/>
      <c r="AW21" s="83"/>
      <c r="AX21" s="84"/>
      <c r="AY21" s="82"/>
      <c r="AZ21" s="83"/>
      <c r="BA21" s="83"/>
      <c r="BB21" s="83"/>
      <c r="BC21" s="8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</row>
    <row r="22" spans="1:116" ht="12.75" customHeight="1" x14ac:dyDescent="0.2">
      <c r="A22" s="56">
        <v>1020</v>
      </c>
      <c r="B22" s="57"/>
      <c r="C22" s="58" t="s">
        <v>54</v>
      </c>
      <c r="D22" s="58"/>
      <c r="E22" s="58"/>
      <c r="F22" s="58"/>
      <c r="G22" s="58"/>
      <c r="H22" s="59"/>
      <c r="I22" s="85"/>
      <c r="J22" s="61"/>
      <c r="K22" s="62" t="s">
        <v>53</v>
      </c>
      <c r="L22" s="63"/>
      <c r="M22" s="63">
        <f t="shared" si="0"/>
        <v>0</v>
      </c>
      <c r="N22" s="63">
        <f>L22+M22</f>
        <v>0</v>
      </c>
      <c r="O22" s="64">
        <f>N22/50500000</f>
        <v>0</v>
      </c>
      <c r="P22" s="65"/>
      <c r="Q22" s="65">
        <f>$O$22/2</f>
        <v>0</v>
      </c>
      <c r="R22" s="318"/>
      <c r="S22" s="319"/>
      <c r="T22" s="86"/>
      <c r="U22" s="87"/>
      <c r="V22" s="88"/>
      <c r="W22" s="88"/>
      <c r="X22" s="88"/>
      <c r="Y22" s="86"/>
      <c r="Z22" s="87"/>
      <c r="AA22" s="88"/>
      <c r="AB22" s="88"/>
      <c r="AC22" s="86"/>
      <c r="AD22" s="87"/>
      <c r="AE22" s="88"/>
      <c r="AF22" s="88"/>
      <c r="AG22" s="86"/>
      <c r="AH22" s="87"/>
      <c r="AI22" s="88"/>
      <c r="AJ22" s="88"/>
      <c r="AK22" s="86"/>
      <c r="AL22" s="87"/>
      <c r="AM22" s="88"/>
      <c r="AN22" s="88"/>
      <c r="AO22" s="86"/>
      <c r="AP22" s="87"/>
      <c r="AQ22" s="88"/>
      <c r="AR22" s="88"/>
      <c r="AS22" s="86"/>
      <c r="AT22" s="87"/>
      <c r="AU22" s="88"/>
      <c r="AV22" s="88"/>
      <c r="AW22" s="88"/>
      <c r="AX22" s="70"/>
      <c r="AY22" s="87"/>
      <c r="AZ22" s="88"/>
      <c r="BA22" s="65">
        <f>$O$22/2*0.8</f>
        <v>0</v>
      </c>
      <c r="BB22" s="65">
        <f>$O$22/2*0.2</f>
        <v>0</v>
      </c>
      <c r="BC22" s="86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</row>
    <row r="23" spans="1:116" ht="3.75" customHeight="1" x14ac:dyDescent="0.2">
      <c r="A23" s="71"/>
      <c r="B23" s="72"/>
      <c r="C23" s="73"/>
      <c r="D23" s="73"/>
      <c r="E23" s="73"/>
      <c r="F23" s="73"/>
      <c r="G23" s="73"/>
      <c r="H23" s="74"/>
      <c r="I23" s="75"/>
      <c r="J23" s="76"/>
      <c r="K23" s="77"/>
      <c r="L23" s="78"/>
      <c r="M23" s="63">
        <f t="shared" si="0"/>
        <v>0</v>
      </c>
      <c r="N23" s="63"/>
      <c r="O23" s="89"/>
      <c r="P23" s="79"/>
      <c r="Q23" s="80"/>
      <c r="R23" s="320"/>
      <c r="S23" s="321"/>
      <c r="T23" s="81"/>
      <c r="U23" s="82"/>
      <c r="V23" s="83"/>
      <c r="W23" s="83"/>
      <c r="X23" s="83"/>
      <c r="Y23" s="81"/>
      <c r="Z23" s="82"/>
      <c r="AA23" s="83"/>
      <c r="AB23" s="83"/>
      <c r="AC23" s="81"/>
      <c r="AD23" s="82"/>
      <c r="AE23" s="83"/>
      <c r="AF23" s="83"/>
      <c r="AG23" s="81"/>
      <c r="AH23" s="82"/>
      <c r="AI23" s="83"/>
      <c r="AJ23" s="83"/>
      <c r="AK23" s="81"/>
      <c r="AL23" s="82"/>
      <c r="AM23" s="83"/>
      <c r="AN23" s="83"/>
      <c r="AO23" s="81"/>
      <c r="AP23" s="82"/>
      <c r="AQ23" s="83"/>
      <c r="AR23" s="83"/>
      <c r="AS23" s="81"/>
      <c r="AT23" s="82"/>
      <c r="AU23" s="83"/>
      <c r="AV23" s="83"/>
      <c r="AW23" s="83"/>
      <c r="AX23" s="84"/>
      <c r="AY23" s="82"/>
      <c r="AZ23" s="83"/>
      <c r="BA23" s="83"/>
      <c r="BB23" s="83"/>
      <c r="BC23" s="8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</row>
    <row r="24" spans="1:116" ht="12.75" customHeight="1" x14ac:dyDescent="0.2">
      <c r="A24" s="56">
        <v>1030</v>
      </c>
      <c r="B24" s="57"/>
      <c r="C24" s="58" t="s">
        <v>55</v>
      </c>
      <c r="D24" s="58"/>
      <c r="E24" s="58"/>
      <c r="F24" s="58"/>
      <c r="G24" s="58"/>
      <c r="H24" s="59"/>
      <c r="I24" s="85"/>
      <c r="J24" s="61"/>
      <c r="K24" s="62" t="s">
        <v>53</v>
      </c>
      <c r="L24" s="63"/>
      <c r="M24" s="63">
        <f t="shared" si="0"/>
        <v>0</v>
      </c>
      <c r="N24" s="63">
        <f>L24+M24</f>
        <v>0</v>
      </c>
      <c r="O24" s="64">
        <f>N24/50500000</f>
        <v>0</v>
      </c>
      <c r="P24" s="65">
        <f>O24/11</f>
        <v>0</v>
      </c>
      <c r="Q24" s="90">
        <f t="shared" ref="Q24:R24" si="1">P24</f>
        <v>0</v>
      </c>
      <c r="R24" s="322">
        <f t="shared" si="1"/>
        <v>0</v>
      </c>
      <c r="S24" s="319"/>
      <c r="T24" s="90">
        <f>R24</f>
        <v>0</v>
      </c>
      <c r="U24" s="90">
        <f t="shared" ref="U24:AA24" si="2">T24</f>
        <v>0</v>
      </c>
      <c r="V24" s="90">
        <f t="shared" si="2"/>
        <v>0</v>
      </c>
      <c r="W24" s="90">
        <f t="shared" si="2"/>
        <v>0</v>
      </c>
      <c r="X24" s="90">
        <f t="shared" si="2"/>
        <v>0</v>
      </c>
      <c r="Y24" s="90">
        <f t="shared" si="2"/>
        <v>0</v>
      </c>
      <c r="Z24" s="87">
        <f t="shared" si="2"/>
        <v>0</v>
      </c>
      <c r="AA24" s="88">
        <f t="shared" si="2"/>
        <v>0</v>
      </c>
      <c r="AB24" s="88"/>
      <c r="AC24" s="86"/>
      <c r="AD24" s="87"/>
      <c r="AE24" s="88"/>
      <c r="AF24" s="88"/>
      <c r="AG24" s="86"/>
      <c r="AH24" s="87"/>
      <c r="AI24" s="88"/>
      <c r="AJ24" s="88"/>
      <c r="AK24" s="86"/>
      <c r="AL24" s="87"/>
      <c r="AM24" s="88"/>
      <c r="AN24" s="88"/>
      <c r="AO24" s="86"/>
      <c r="AP24" s="87"/>
      <c r="AQ24" s="88"/>
      <c r="AR24" s="88"/>
      <c r="AS24" s="86"/>
      <c r="AT24" s="87"/>
      <c r="AU24" s="88"/>
      <c r="AV24" s="88"/>
      <c r="AW24" s="88"/>
      <c r="AX24" s="70"/>
      <c r="AY24" s="87"/>
      <c r="AZ24" s="88"/>
      <c r="BA24" s="88"/>
      <c r="BB24" s="88"/>
      <c r="BC24" s="86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</row>
    <row r="25" spans="1:116" ht="3.75" customHeight="1" x14ac:dyDescent="0.2">
      <c r="A25" s="71"/>
      <c r="B25" s="72"/>
      <c r="C25" s="73"/>
      <c r="D25" s="73"/>
      <c r="E25" s="73"/>
      <c r="F25" s="73"/>
      <c r="G25" s="73"/>
      <c r="H25" s="74"/>
      <c r="I25" s="91"/>
      <c r="J25" s="76"/>
      <c r="K25" s="77"/>
      <c r="L25" s="78"/>
      <c r="M25" s="63">
        <f t="shared" si="0"/>
        <v>0</v>
      </c>
      <c r="N25" s="63"/>
      <c r="O25" s="89"/>
      <c r="P25" s="79"/>
      <c r="Q25" s="80"/>
      <c r="R25" s="320"/>
      <c r="S25" s="321"/>
      <c r="T25" s="81"/>
      <c r="U25" s="82"/>
      <c r="V25" s="83"/>
      <c r="W25" s="83"/>
      <c r="X25" s="83"/>
      <c r="Y25" s="81"/>
      <c r="Z25" s="82"/>
      <c r="AA25" s="83"/>
      <c r="AB25" s="83"/>
      <c r="AC25" s="81"/>
      <c r="AD25" s="82"/>
      <c r="AE25" s="83"/>
      <c r="AF25" s="83"/>
      <c r="AG25" s="81"/>
      <c r="AH25" s="82"/>
      <c r="AI25" s="83"/>
      <c r="AJ25" s="83"/>
      <c r="AK25" s="81"/>
      <c r="AL25" s="82"/>
      <c r="AM25" s="83"/>
      <c r="AN25" s="83"/>
      <c r="AO25" s="81"/>
      <c r="AP25" s="82"/>
      <c r="AQ25" s="83"/>
      <c r="AR25" s="83"/>
      <c r="AS25" s="81"/>
      <c r="AT25" s="82"/>
      <c r="AU25" s="83"/>
      <c r="AV25" s="83"/>
      <c r="AW25" s="83"/>
      <c r="AX25" s="84"/>
      <c r="AY25" s="82"/>
      <c r="AZ25" s="83"/>
      <c r="BA25" s="83"/>
      <c r="BB25" s="83"/>
      <c r="BC25" s="8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</row>
    <row r="26" spans="1:116" ht="12.75" customHeight="1" x14ac:dyDescent="0.2">
      <c r="A26" s="56">
        <v>1040</v>
      </c>
      <c r="B26" s="57"/>
      <c r="C26" s="58" t="s">
        <v>56</v>
      </c>
      <c r="D26" s="58"/>
      <c r="E26" s="58"/>
      <c r="F26" s="58"/>
      <c r="G26" s="58"/>
      <c r="H26" s="59"/>
      <c r="I26" s="85"/>
      <c r="J26" s="61"/>
      <c r="K26" s="62" t="s">
        <v>53</v>
      </c>
      <c r="L26" s="63"/>
      <c r="M26" s="63">
        <f t="shared" si="0"/>
        <v>0</v>
      </c>
      <c r="N26" s="63">
        <f>L26+M26</f>
        <v>0</v>
      </c>
      <c r="O26" s="64">
        <f>N26/50500000</f>
        <v>0</v>
      </c>
      <c r="P26" s="65"/>
      <c r="Q26" s="90"/>
      <c r="R26" s="318"/>
      <c r="S26" s="319"/>
      <c r="T26" s="66">
        <f>$O$26/5</f>
        <v>0</v>
      </c>
      <c r="U26" s="92">
        <f t="shared" ref="U26:X26" si="3">T26</f>
        <v>0</v>
      </c>
      <c r="V26" s="88">
        <f t="shared" si="3"/>
        <v>0</v>
      </c>
      <c r="W26" s="88">
        <f t="shared" si="3"/>
        <v>0</v>
      </c>
      <c r="X26" s="88">
        <f t="shared" si="3"/>
        <v>0</v>
      </c>
      <c r="Y26" s="86"/>
      <c r="Z26" s="87"/>
      <c r="AA26" s="88"/>
      <c r="AB26" s="88"/>
      <c r="AC26" s="86"/>
      <c r="AD26" s="87"/>
      <c r="AE26" s="88"/>
      <c r="AF26" s="88"/>
      <c r="AG26" s="86"/>
      <c r="AH26" s="87"/>
      <c r="AI26" s="88"/>
      <c r="AJ26" s="88"/>
      <c r="AK26" s="86"/>
      <c r="AL26" s="87"/>
      <c r="AM26" s="88"/>
      <c r="AN26" s="88"/>
      <c r="AO26" s="86"/>
      <c r="AP26" s="87"/>
      <c r="AQ26" s="88"/>
      <c r="AR26" s="88"/>
      <c r="AS26" s="86"/>
      <c r="AT26" s="87"/>
      <c r="AU26" s="88"/>
      <c r="AV26" s="88"/>
      <c r="AW26" s="88"/>
      <c r="AX26" s="70"/>
      <c r="AY26" s="87"/>
      <c r="AZ26" s="88"/>
      <c r="BA26" s="88"/>
      <c r="BB26" s="88"/>
      <c r="BC26" s="86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</row>
    <row r="27" spans="1:116" ht="3.75" customHeight="1" x14ac:dyDescent="0.2">
      <c r="A27" s="71"/>
      <c r="B27" s="72"/>
      <c r="C27" s="1"/>
      <c r="D27" s="73"/>
      <c r="E27" s="73"/>
      <c r="F27" s="73"/>
      <c r="G27" s="73"/>
      <c r="H27" s="74"/>
      <c r="I27" s="91"/>
      <c r="J27" s="76"/>
      <c r="K27" s="77"/>
      <c r="L27" s="78"/>
      <c r="M27" s="63">
        <f t="shared" si="0"/>
        <v>0</v>
      </c>
      <c r="N27" s="63"/>
      <c r="O27" s="89"/>
      <c r="P27" s="79"/>
      <c r="Q27" s="80"/>
      <c r="R27" s="93"/>
      <c r="S27" s="93"/>
      <c r="T27" s="81"/>
      <c r="U27" s="82"/>
      <c r="V27" s="83"/>
      <c r="W27" s="83"/>
      <c r="X27" s="83"/>
      <c r="Y27" s="81"/>
      <c r="Z27" s="82"/>
      <c r="AA27" s="83"/>
      <c r="AB27" s="83"/>
      <c r="AC27" s="81"/>
      <c r="AD27" s="82"/>
      <c r="AE27" s="83"/>
      <c r="AF27" s="83"/>
      <c r="AG27" s="81"/>
      <c r="AH27" s="82"/>
      <c r="AI27" s="83"/>
      <c r="AJ27" s="83"/>
      <c r="AK27" s="81"/>
      <c r="AL27" s="82"/>
      <c r="AM27" s="83"/>
      <c r="AN27" s="83"/>
      <c r="AO27" s="81"/>
      <c r="AP27" s="82"/>
      <c r="AQ27" s="83"/>
      <c r="AR27" s="83"/>
      <c r="AS27" s="81"/>
      <c r="AT27" s="82"/>
      <c r="AU27" s="83"/>
      <c r="AV27" s="83"/>
      <c r="AW27" s="83"/>
      <c r="AX27" s="84"/>
      <c r="AY27" s="82"/>
      <c r="AZ27" s="83"/>
      <c r="BA27" s="83"/>
      <c r="BB27" s="83"/>
      <c r="BC27" s="8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</row>
    <row r="28" spans="1:116" ht="15" customHeight="1" x14ac:dyDescent="0.2">
      <c r="A28" s="24">
        <v>2000</v>
      </c>
      <c r="B28" s="25" t="s">
        <v>57</v>
      </c>
      <c r="C28" s="94"/>
      <c r="D28" s="94"/>
      <c r="E28" s="94"/>
      <c r="F28" s="94"/>
      <c r="G28" s="94"/>
      <c r="H28" s="95"/>
      <c r="I28" s="96"/>
      <c r="J28" s="29"/>
      <c r="K28" s="97"/>
      <c r="L28" s="31"/>
      <c r="M28" s="31"/>
      <c r="N28" s="33"/>
      <c r="O28" s="33"/>
      <c r="P28" s="98"/>
      <c r="Q28" s="99"/>
      <c r="R28" s="323"/>
      <c r="S28" s="315"/>
      <c r="T28" s="100"/>
      <c r="U28" s="101"/>
      <c r="V28" s="102"/>
      <c r="W28" s="102"/>
      <c r="X28" s="102"/>
      <c r="Y28" s="100"/>
      <c r="Z28" s="101"/>
      <c r="AA28" s="102"/>
      <c r="AB28" s="102"/>
      <c r="AC28" s="100"/>
      <c r="AD28" s="101"/>
      <c r="AE28" s="102"/>
      <c r="AF28" s="102"/>
      <c r="AG28" s="100"/>
      <c r="AH28" s="101"/>
      <c r="AI28" s="102"/>
      <c r="AJ28" s="102"/>
      <c r="AK28" s="100"/>
      <c r="AL28" s="101"/>
      <c r="AM28" s="102"/>
      <c r="AN28" s="102"/>
      <c r="AO28" s="100"/>
      <c r="AP28" s="101"/>
      <c r="AQ28" s="102"/>
      <c r="AR28" s="102"/>
      <c r="AS28" s="100"/>
      <c r="AT28" s="101"/>
      <c r="AU28" s="102"/>
      <c r="AV28" s="102"/>
      <c r="AW28" s="102"/>
      <c r="AX28" s="103"/>
      <c r="AY28" s="101"/>
      <c r="AZ28" s="102"/>
      <c r="BA28" s="102"/>
      <c r="BB28" s="102"/>
      <c r="BC28" s="100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</row>
    <row r="29" spans="1:116" ht="3.75" customHeight="1" x14ac:dyDescent="0.2">
      <c r="A29" s="104"/>
      <c r="B29" s="105"/>
      <c r="C29" s="106"/>
      <c r="D29" s="106"/>
      <c r="E29" s="106"/>
      <c r="F29" s="106"/>
      <c r="G29" s="106"/>
      <c r="H29" s="107"/>
      <c r="I29" s="108"/>
      <c r="J29" s="109"/>
      <c r="K29" s="110"/>
      <c r="L29" s="111"/>
      <c r="M29" s="63">
        <f t="shared" ref="M29:M33" si="4">L29*4260501/50500000</f>
        <v>0</v>
      </c>
      <c r="N29" s="63"/>
      <c r="O29" s="112"/>
      <c r="P29" s="113"/>
      <c r="Q29" s="114"/>
      <c r="R29" s="324"/>
      <c r="S29" s="317"/>
      <c r="T29" s="115"/>
      <c r="U29" s="116"/>
      <c r="V29" s="117"/>
      <c r="W29" s="117"/>
      <c r="X29" s="117"/>
      <c r="Y29" s="115"/>
      <c r="Z29" s="116"/>
      <c r="AA29" s="117"/>
      <c r="AB29" s="117"/>
      <c r="AC29" s="115"/>
      <c r="AD29" s="116"/>
      <c r="AE29" s="117"/>
      <c r="AF29" s="117"/>
      <c r="AG29" s="115"/>
      <c r="AH29" s="116"/>
      <c r="AI29" s="117"/>
      <c r="AJ29" s="117"/>
      <c r="AK29" s="115"/>
      <c r="AL29" s="116"/>
      <c r="AM29" s="117"/>
      <c r="AN29" s="117"/>
      <c r="AO29" s="115"/>
      <c r="AP29" s="116"/>
      <c r="AQ29" s="117"/>
      <c r="AR29" s="117"/>
      <c r="AS29" s="115"/>
      <c r="AT29" s="116"/>
      <c r="AU29" s="117"/>
      <c r="AV29" s="117"/>
      <c r="AW29" s="117"/>
      <c r="AX29" s="118"/>
      <c r="AY29" s="116"/>
      <c r="AZ29" s="117"/>
      <c r="BA29" s="117"/>
      <c r="BB29" s="117"/>
      <c r="BC29" s="115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</row>
    <row r="30" spans="1:116" ht="12.75" customHeight="1" x14ac:dyDescent="0.2">
      <c r="A30" s="56">
        <v>2010</v>
      </c>
      <c r="B30" s="57"/>
      <c r="C30" s="58" t="s">
        <v>58</v>
      </c>
      <c r="D30" s="58"/>
      <c r="E30" s="58"/>
      <c r="F30" s="58"/>
      <c r="G30" s="58"/>
      <c r="H30" s="59"/>
      <c r="I30" s="119"/>
      <c r="J30" s="61"/>
      <c r="K30" s="62" t="s">
        <v>53</v>
      </c>
      <c r="L30" s="63"/>
      <c r="M30" s="63">
        <f t="shared" si="4"/>
        <v>0</v>
      </c>
      <c r="N30" s="63">
        <f>L30+M30</f>
        <v>0</v>
      </c>
      <c r="O30" s="64">
        <f>N30/50500000</f>
        <v>0</v>
      </c>
      <c r="P30" s="65"/>
      <c r="Q30" s="90"/>
      <c r="R30" s="318">
        <f>O30</f>
        <v>0</v>
      </c>
      <c r="S30" s="319"/>
      <c r="T30" s="86"/>
      <c r="U30" s="87"/>
      <c r="V30" s="88"/>
      <c r="W30" s="88"/>
      <c r="X30" s="88"/>
      <c r="Y30" s="86"/>
      <c r="Z30" s="87"/>
      <c r="AA30" s="88"/>
      <c r="AB30" s="88"/>
      <c r="AC30" s="86"/>
      <c r="AD30" s="87"/>
      <c r="AE30" s="88"/>
      <c r="AF30" s="88"/>
      <c r="AG30" s="86"/>
      <c r="AH30" s="87"/>
      <c r="AI30" s="88"/>
      <c r="AJ30" s="88"/>
      <c r="AK30" s="86"/>
      <c r="AL30" s="87"/>
      <c r="AM30" s="88"/>
      <c r="AN30" s="88"/>
      <c r="AO30" s="86"/>
      <c r="AP30" s="87"/>
      <c r="AQ30" s="88"/>
      <c r="AR30" s="88"/>
      <c r="AS30" s="86"/>
      <c r="AT30" s="87"/>
      <c r="AU30" s="88"/>
      <c r="AV30" s="88"/>
      <c r="AW30" s="88"/>
      <c r="AX30" s="70"/>
      <c r="AY30" s="87"/>
      <c r="AZ30" s="88"/>
      <c r="BA30" s="88"/>
      <c r="BB30" s="88"/>
      <c r="BC30" s="86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</row>
    <row r="31" spans="1:116" ht="3.75" customHeight="1" x14ac:dyDescent="0.2">
      <c r="A31" s="71"/>
      <c r="B31" s="72"/>
      <c r="C31" s="73"/>
      <c r="D31" s="73"/>
      <c r="E31" s="73"/>
      <c r="F31" s="73"/>
      <c r="G31" s="73"/>
      <c r="H31" s="74"/>
      <c r="I31" s="120"/>
      <c r="J31" s="76"/>
      <c r="K31" s="77"/>
      <c r="L31" s="78"/>
      <c r="M31" s="63">
        <f t="shared" si="4"/>
        <v>0</v>
      </c>
      <c r="N31" s="63"/>
      <c r="O31" s="89"/>
      <c r="P31" s="79"/>
      <c r="Q31" s="80"/>
      <c r="R31" s="320"/>
      <c r="S31" s="321"/>
      <c r="T31" s="81"/>
      <c r="U31" s="82"/>
      <c r="V31" s="83"/>
      <c r="W31" s="83"/>
      <c r="X31" s="83"/>
      <c r="Y31" s="81"/>
      <c r="Z31" s="82"/>
      <c r="AA31" s="83"/>
      <c r="AB31" s="83"/>
      <c r="AC31" s="81"/>
      <c r="AD31" s="82"/>
      <c r="AE31" s="83"/>
      <c r="AF31" s="83"/>
      <c r="AG31" s="81"/>
      <c r="AH31" s="82"/>
      <c r="AI31" s="83"/>
      <c r="AJ31" s="83"/>
      <c r="AK31" s="81"/>
      <c r="AL31" s="82"/>
      <c r="AM31" s="83"/>
      <c r="AN31" s="83"/>
      <c r="AO31" s="81"/>
      <c r="AP31" s="82"/>
      <c r="AQ31" s="83"/>
      <c r="AR31" s="83"/>
      <c r="AS31" s="81"/>
      <c r="AT31" s="82"/>
      <c r="AU31" s="83"/>
      <c r="AV31" s="83"/>
      <c r="AW31" s="83"/>
      <c r="AX31" s="84"/>
      <c r="AY31" s="82"/>
      <c r="AZ31" s="83"/>
      <c r="BA31" s="83"/>
      <c r="BB31" s="83"/>
      <c r="BC31" s="8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</row>
    <row r="32" spans="1:116" ht="12.75" customHeight="1" x14ac:dyDescent="0.2">
      <c r="A32" s="56">
        <v>2020</v>
      </c>
      <c r="B32" s="57"/>
      <c r="C32" s="58" t="s">
        <v>59</v>
      </c>
      <c r="D32" s="58"/>
      <c r="E32" s="58"/>
      <c r="F32" s="58"/>
      <c r="G32" s="58"/>
      <c r="H32" s="59"/>
      <c r="I32" s="119"/>
      <c r="J32" s="61"/>
      <c r="K32" s="62" t="s">
        <v>53</v>
      </c>
      <c r="L32" s="63"/>
      <c r="M32" s="63">
        <f t="shared" si="4"/>
        <v>0</v>
      </c>
      <c r="N32" s="63">
        <f>L32+M32</f>
        <v>0</v>
      </c>
      <c r="O32" s="64">
        <f>N32/50500000</f>
        <v>0</v>
      </c>
      <c r="P32" s="65"/>
      <c r="Q32" s="90"/>
      <c r="R32" s="318">
        <f>O32*0.75/1.75</f>
        <v>0</v>
      </c>
      <c r="S32" s="319"/>
      <c r="T32" s="67">
        <f>O32/1.75</f>
        <v>0</v>
      </c>
      <c r="U32" s="68"/>
      <c r="V32" s="88"/>
      <c r="W32" s="88"/>
      <c r="X32" s="88"/>
      <c r="Y32" s="86"/>
      <c r="Z32" s="87"/>
      <c r="AA32" s="88"/>
      <c r="AB32" s="88"/>
      <c r="AC32" s="86"/>
      <c r="AD32" s="87"/>
      <c r="AE32" s="88"/>
      <c r="AF32" s="88"/>
      <c r="AG32" s="86"/>
      <c r="AH32" s="87"/>
      <c r="AI32" s="88"/>
      <c r="AJ32" s="88"/>
      <c r="AK32" s="86"/>
      <c r="AL32" s="87"/>
      <c r="AM32" s="88"/>
      <c r="AN32" s="88"/>
      <c r="AO32" s="86"/>
      <c r="AP32" s="87"/>
      <c r="AQ32" s="88"/>
      <c r="AR32" s="88"/>
      <c r="AS32" s="86"/>
      <c r="AT32" s="87"/>
      <c r="AU32" s="88"/>
      <c r="AV32" s="88"/>
      <c r="AW32" s="88"/>
      <c r="AX32" s="70"/>
      <c r="AY32" s="87"/>
      <c r="AZ32" s="88"/>
      <c r="BA32" s="88"/>
      <c r="BB32" s="88"/>
      <c r="BC32" s="86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</row>
    <row r="33" spans="1:116" ht="3.75" customHeight="1" x14ac:dyDescent="0.2">
      <c r="A33" s="71"/>
      <c r="B33" s="72"/>
      <c r="C33" s="73"/>
      <c r="D33" s="73"/>
      <c r="E33" s="73"/>
      <c r="F33" s="73"/>
      <c r="G33" s="73"/>
      <c r="H33" s="74"/>
      <c r="I33" s="120"/>
      <c r="J33" s="76"/>
      <c r="K33" s="77"/>
      <c r="L33" s="78"/>
      <c r="M33" s="63">
        <f t="shared" si="4"/>
        <v>0</v>
      </c>
      <c r="N33" s="63"/>
      <c r="O33" s="89"/>
      <c r="P33" s="79"/>
      <c r="Q33" s="80"/>
      <c r="R33" s="320"/>
      <c r="S33" s="321"/>
      <c r="T33" s="81"/>
      <c r="U33" s="82"/>
      <c r="V33" s="83"/>
      <c r="W33" s="83"/>
      <c r="X33" s="83"/>
      <c r="Y33" s="81"/>
      <c r="Z33" s="82"/>
      <c r="AA33" s="83"/>
      <c r="AB33" s="83"/>
      <c r="AC33" s="81"/>
      <c r="AD33" s="82"/>
      <c r="AE33" s="83"/>
      <c r="AF33" s="83"/>
      <c r="AG33" s="81"/>
      <c r="AH33" s="82"/>
      <c r="AI33" s="83"/>
      <c r="AJ33" s="83"/>
      <c r="AK33" s="81"/>
      <c r="AL33" s="82"/>
      <c r="AM33" s="83"/>
      <c r="AN33" s="83"/>
      <c r="AO33" s="81"/>
      <c r="AP33" s="82"/>
      <c r="AQ33" s="83"/>
      <c r="AR33" s="83"/>
      <c r="AS33" s="81"/>
      <c r="AT33" s="82"/>
      <c r="AU33" s="83"/>
      <c r="AV33" s="83"/>
      <c r="AW33" s="83"/>
      <c r="AX33" s="84"/>
      <c r="AY33" s="82"/>
      <c r="AZ33" s="83"/>
      <c r="BA33" s="83"/>
      <c r="BB33" s="83"/>
      <c r="BC33" s="8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</row>
    <row r="34" spans="1:116" ht="12.75" customHeight="1" x14ac:dyDescent="0.2">
      <c r="A34" s="24">
        <v>3000</v>
      </c>
      <c r="B34" s="25" t="s">
        <v>60</v>
      </c>
      <c r="C34" s="94"/>
      <c r="D34" s="94"/>
      <c r="E34" s="94"/>
      <c r="F34" s="94"/>
      <c r="G34" s="94"/>
      <c r="H34" s="95"/>
      <c r="I34" s="28"/>
      <c r="J34" s="29"/>
      <c r="K34" s="30"/>
      <c r="L34" s="31"/>
      <c r="M34" s="31"/>
      <c r="N34" s="33"/>
      <c r="O34" s="33"/>
      <c r="P34" s="98"/>
      <c r="Q34" s="99"/>
      <c r="R34" s="323"/>
      <c r="S34" s="315"/>
      <c r="T34" s="100"/>
      <c r="U34" s="101"/>
      <c r="V34" s="102"/>
      <c r="W34" s="102"/>
      <c r="X34" s="102"/>
      <c r="Y34" s="100"/>
      <c r="Z34" s="101"/>
      <c r="AA34" s="102"/>
      <c r="AB34" s="102"/>
      <c r="AC34" s="100"/>
      <c r="AD34" s="101"/>
      <c r="AE34" s="102"/>
      <c r="AF34" s="102"/>
      <c r="AG34" s="100"/>
      <c r="AH34" s="101"/>
      <c r="AI34" s="102"/>
      <c r="AJ34" s="102"/>
      <c r="AK34" s="100"/>
      <c r="AL34" s="101"/>
      <c r="AM34" s="102"/>
      <c r="AN34" s="102"/>
      <c r="AO34" s="100"/>
      <c r="AP34" s="101"/>
      <c r="AQ34" s="102"/>
      <c r="AR34" s="102"/>
      <c r="AS34" s="100"/>
      <c r="AT34" s="101"/>
      <c r="AU34" s="102"/>
      <c r="AV34" s="102"/>
      <c r="AW34" s="102"/>
      <c r="AX34" s="103"/>
      <c r="AY34" s="101"/>
      <c r="AZ34" s="102"/>
      <c r="BA34" s="102"/>
      <c r="BB34" s="102"/>
      <c r="BC34" s="100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</row>
    <row r="35" spans="1:116" ht="3.75" customHeight="1" x14ac:dyDescent="0.2">
      <c r="A35" s="104"/>
      <c r="B35" s="121"/>
      <c r="C35" s="106"/>
      <c r="D35" s="106"/>
      <c r="E35" s="106"/>
      <c r="F35" s="106"/>
      <c r="G35" s="106"/>
      <c r="H35" s="107"/>
      <c r="I35" s="122"/>
      <c r="J35" s="109"/>
      <c r="K35" s="123"/>
      <c r="L35" s="111"/>
      <c r="M35" s="63">
        <f t="shared" ref="M35:M43" si="5">L35*4260501/50500000</f>
        <v>0</v>
      </c>
      <c r="N35" s="63"/>
      <c r="O35" s="112"/>
      <c r="P35" s="124"/>
      <c r="Q35" s="125"/>
      <c r="R35" s="324"/>
      <c r="S35" s="317"/>
      <c r="T35" s="115"/>
      <c r="U35" s="116"/>
      <c r="V35" s="117"/>
      <c r="W35" s="117"/>
      <c r="X35" s="117"/>
      <c r="Y35" s="115"/>
      <c r="Z35" s="116"/>
      <c r="AA35" s="117"/>
      <c r="AB35" s="117"/>
      <c r="AC35" s="115"/>
      <c r="AD35" s="116"/>
      <c r="AE35" s="117"/>
      <c r="AF35" s="117"/>
      <c r="AG35" s="115"/>
      <c r="AH35" s="116"/>
      <c r="AI35" s="117"/>
      <c r="AJ35" s="117"/>
      <c r="AK35" s="115"/>
      <c r="AL35" s="116"/>
      <c r="AM35" s="117"/>
      <c r="AN35" s="117"/>
      <c r="AO35" s="115"/>
      <c r="AP35" s="116"/>
      <c r="AQ35" s="117"/>
      <c r="AR35" s="117"/>
      <c r="AS35" s="115"/>
      <c r="AT35" s="116"/>
      <c r="AU35" s="117"/>
      <c r="AV35" s="117"/>
      <c r="AW35" s="117"/>
      <c r="AX35" s="118"/>
      <c r="AY35" s="116"/>
      <c r="AZ35" s="117"/>
      <c r="BA35" s="117"/>
      <c r="BB35" s="117"/>
      <c r="BC35" s="115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</row>
    <row r="36" spans="1:116" ht="12.75" customHeight="1" x14ac:dyDescent="0.2">
      <c r="A36" s="126">
        <v>3010</v>
      </c>
      <c r="B36" s="127"/>
      <c r="C36" s="58" t="s">
        <v>61</v>
      </c>
      <c r="D36" s="58"/>
      <c r="E36" s="58"/>
      <c r="F36" s="58"/>
      <c r="G36" s="58"/>
      <c r="H36" s="59"/>
      <c r="I36" s="126"/>
      <c r="J36" s="61"/>
      <c r="K36" s="128" t="s">
        <v>62</v>
      </c>
      <c r="L36" s="63"/>
      <c r="M36" s="63">
        <f t="shared" si="5"/>
        <v>0</v>
      </c>
      <c r="N36" s="63">
        <f>L36+M36</f>
        <v>0</v>
      </c>
      <c r="O36" s="64">
        <f>N36/50500000</f>
        <v>0</v>
      </c>
      <c r="P36" s="129"/>
      <c r="Q36" s="130"/>
      <c r="R36" s="318">
        <f>O36/7</f>
        <v>0</v>
      </c>
      <c r="S36" s="319"/>
      <c r="T36" s="67">
        <f>R36</f>
        <v>0</v>
      </c>
      <c r="U36" s="67">
        <f>O36/7</f>
        <v>0</v>
      </c>
      <c r="V36" s="67">
        <f t="shared" ref="V36:Y36" si="6">T36</f>
        <v>0</v>
      </c>
      <c r="W36" s="67">
        <f t="shared" si="6"/>
        <v>0</v>
      </c>
      <c r="X36" s="67">
        <f t="shared" si="6"/>
        <v>0</v>
      </c>
      <c r="Y36" s="67">
        <f t="shared" si="6"/>
        <v>0</v>
      </c>
      <c r="Z36" s="68"/>
      <c r="AA36" s="69"/>
      <c r="AB36" s="69"/>
      <c r="AC36" s="67"/>
      <c r="AD36" s="68"/>
      <c r="AE36" s="69"/>
      <c r="AF36" s="88"/>
      <c r="AG36" s="86"/>
      <c r="AH36" s="87"/>
      <c r="AI36" s="88"/>
      <c r="AJ36" s="88"/>
      <c r="AK36" s="86"/>
      <c r="AL36" s="87"/>
      <c r="AM36" s="88"/>
      <c r="AN36" s="88"/>
      <c r="AO36" s="86"/>
      <c r="AP36" s="87"/>
      <c r="AQ36" s="88"/>
      <c r="AR36" s="88"/>
      <c r="AS36" s="86"/>
      <c r="AT36" s="87"/>
      <c r="AU36" s="88"/>
      <c r="AV36" s="88"/>
      <c r="AW36" s="88"/>
      <c r="AX36" s="70"/>
      <c r="AY36" s="87"/>
      <c r="AZ36" s="88"/>
      <c r="BA36" s="88"/>
      <c r="BB36" s="88"/>
      <c r="BC36" s="86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</row>
    <row r="37" spans="1:116" ht="3.75" customHeight="1" x14ac:dyDescent="0.2">
      <c r="A37" s="104"/>
      <c r="B37" s="121"/>
      <c r="C37" s="106"/>
      <c r="D37" s="106"/>
      <c r="E37" s="106"/>
      <c r="F37" s="106"/>
      <c r="G37" s="106"/>
      <c r="H37" s="107"/>
      <c r="I37" s="122"/>
      <c r="J37" s="109"/>
      <c r="K37" s="123"/>
      <c r="L37" s="78"/>
      <c r="M37" s="63">
        <f t="shared" si="5"/>
        <v>0</v>
      </c>
      <c r="N37" s="63"/>
      <c r="O37" s="89"/>
      <c r="P37" s="131"/>
      <c r="Q37" s="132"/>
      <c r="R37" s="320"/>
      <c r="S37" s="321"/>
      <c r="T37" s="81"/>
      <c r="U37" s="82"/>
      <c r="V37" s="83"/>
      <c r="W37" s="83"/>
      <c r="X37" s="83"/>
      <c r="Y37" s="81"/>
      <c r="Z37" s="82"/>
      <c r="AA37" s="83"/>
      <c r="AB37" s="83"/>
      <c r="AC37" s="81"/>
      <c r="AD37" s="82"/>
      <c r="AE37" s="83"/>
      <c r="AF37" s="83"/>
      <c r="AG37" s="81"/>
      <c r="AH37" s="82"/>
      <c r="AI37" s="83"/>
      <c r="AJ37" s="83"/>
      <c r="AK37" s="81"/>
      <c r="AL37" s="82"/>
      <c r="AM37" s="83"/>
      <c r="AN37" s="83"/>
      <c r="AO37" s="81"/>
      <c r="AP37" s="82"/>
      <c r="AQ37" s="83"/>
      <c r="AR37" s="83"/>
      <c r="AS37" s="81"/>
      <c r="AT37" s="82"/>
      <c r="AU37" s="83"/>
      <c r="AV37" s="83"/>
      <c r="AW37" s="83"/>
      <c r="AX37" s="84"/>
      <c r="AY37" s="82"/>
      <c r="AZ37" s="83"/>
      <c r="BA37" s="83"/>
      <c r="BB37" s="83"/>
      <c r="BC37" s="8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</row>
    <row r="38" spans="1:116" ht="12.75" customHeight="1" x14ac:dyDescent="0.2">
      <c r="A38" s="126">
        <v>3020</v>
      </c>
      <c r="B38" s="127"/>
      <c r="C38" s="58" t="s">
        <v>63</v>
      </c>
      <c r="D38" s="58"/>
      <c r="E38" s="58"/>
      <c r="F38" s="58"/>
      <c r="G38" s="58"/>
      <c r="H38" s="59"/>
      <c r="I38" s="126"/>
      <c r="J38" s="61"/>
      <c r="K38" s="128" t="s">
        <v>62</v>
      </c>
      <c r="L38" s="63"/>
      <c r="M38" s="63">
        <f t="shared" si="5"/>
        <v>0</v>
      </c>
      <c r="N38" s="63">
        <f>L38+M38</f>
        <v>0</v>
      </c>
      <c r="O38" s="64">
        <f>N38/50500000</f>
        <v>0</v>
      </c>
      <c r="P38" s="129"/>
      <c r="Q38" s="130"/>
      <c r="R38" s="318"/>
      <c r="S38" s="319"/>
      <c r="T38" s="66">
        <f>($O$38*0.4/4)</f>
        <v>0</v>
      </c>
      <c r="U38" s="92">
        <f>T38</f>
        <v>0</v>
      </c>
      <c r="V38" s="67">
        <f t="shared" ref="V38:W38" si="7">T38</f>
        <v>0</v>
      </c>
      <c r="W38" s="67">
        <f t="shared" si="7"/>
        <v>0</v>
      </c>
      <c r="X38" s="67"/>
      <c r="Y38" s="67"/>
      <c r="Z38" s="68"/>
      <c r="AA38" s="69"/>
      <c r="AB38" s="69"/>
      <c r="AC38" s="67"/>
      <c r="AD38" s="68"/>
      <c r="AE38" s="66">
        <f>($O$38*0.6/3)</f>
        <v>0</v>
      </c>
      <c r="AF38" s="66">
        <f t="shared" ref="AF38:AG38" si="8">AE38</f>
        <v>0</v>
      </c>
      <c r="AG38" s="133">
        <f t="shared" si="8"/>
        <v>0</v>
      </c>
      <c r="AH38" s="87"/>
      <c r="AI38" s="88"/>
      <c r="AJ38" s="88"/>
      <c r="AK38" s="86"/>
      <c r="AL38" s="87"/>
      <c r="AM38" s="88"/>
      <c r="AN38" s="88"/>
      <c r="AO38" s="86"/>
      <c r="AP38" s="87"/>
      <c r="AQ38" s="88"/>
      <c r="AR38" s="88"/>
      <c r="AS38" s="86"/>
      <c r="AT38" s="87"/>
      <c r="AU38" s="88"/>
      <c r="AV38" s="88"/>
      <c r="AW38" s="88"/>
      <c r="AX38" s="70"/>
      <c r="AY38" s="87"/>
      <c r="AZ38" s="88"/>
      <c r="BA38" s="88"/>
      <c r="BB38" s="88"/>
      <c r="BC38" s="86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34"/>
      <c r="CX38" s="134"/>
      <c r="CY38" s="134"/>
      <c r="CZ38" s="134"/>
      <c r="DA38" s="134"/>
      <c r="DB38" s="134"/>
      <c r="DC38" s="134"/>
      <c r="DD38" s="134"/>
      <c r="DE38" s="134"/>
      <c r="DF38" s="134"/>
      <c r="DG38" s="134"/>
      <c r="DH38" s="134"/>
      <c r="DI38" s="134"/>
      <c r="DJ38" s="134"/>
      <c r="DK38" s="134"/>
      <c r="DL38" s="134"/>
    </row>
    <row r="39" spans="1:116" ht="3.75" customHeight="1" x14ac:dyDescent="0.2">
      <c r="A39" s="104"/>
      <c r="B39" s="121"/>
      <c r="C39" s="106"/>
      <c r="D39" s="106"/>
      <c r="E39" s="106"/>
      <c r="F39" s="106"/>
      <c r="G39" s="106"/>
      <c r="H39" s="107"/>
      <c r="I39" s="122"/>
      <c r="J39" s="109"/>
      <c r="K39" s="123"/>
      <c r="L39" s="78"/>
      <c r="M39" s="63">
        <f t="shared" si="5"/>
        <v>0</v>
      </c>
      <c r="N39" s="63"/>
      <c r="O39" s="89"/>
      <c r="P39" s="131"/>
      <c r="Q39" s="132"/>
      <c r="R39" s="320"/>
      <c r="S39" s="321"/>
      <c r="T39" s="81"/>
      <c r="U39" s="82"/>
      <c r="V39" s="83"/>
      <c r="W39" s="83"/>
      <c r="X39" s="83"/>
      <c r="Y39" s="81"/>
      <c r="Z39" s="82"/>
      <c r="AA39" s="83"/>
      <c r="AB39" s="83"/>
      <c r="AC39" s="81"/>
      <c r="AD39" s="82"/>
      <c r="AE39" s="83"/>
      <c r="AF39" s="83"/>
      <c r="AG39" s="81"/>
      <c r="AH39" s="82"/>
      <c r="AI39" s="83"/>
      <c r="AJ39" s="83"/>
      <c r="AK39" s="81"/>
      <c r="AL39" s="82"/>
      <c r="AM39" s="83"/>
      <c r="AN39" s="83"/>
      <c r="AO39" s="81"/>
      <c r="AP39" s="82"/>
      <c r="AQ39" s="83"/>
      <c r="AR39" s="83"/>
      <c r="AS39" s="81"/>
      <c r="AT39" s="82"/>
      <c r="AU39" s="83"/>
      <c r="AV39" s="83"/>
      <c r="AW39" s="83"/>
      <c r="AX39" s="84"/>
      <c r="AY39" s="82"/>
      <c r="AZ39" s="83"/>
      <c r="BA39" s="83"/>
      <c r="BB39" s="83"/>
      <c r="BC39" s="8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</row>
    <row r="40" spans="1:116" ht="12.75" customHeight="1" x14ac:dyDescent="0.2">
      <c r="A40" s="126">
        <v>3030</v>
      </c>
      <c r="B40" s="127"/>
      <c r="C40" s="58" t="s">
        <v>64</v>
      </c>
      <c r="D40" s="58"/>
      <c r="E40" s="58"/>
      <c r="F40" s="58"/>
      <c r="G40" s="58"/>
      <c r="H40" s="59"/>
      <c r="I40" s="126"/>
      <c r="J40" s="61"/>
      <c r="K40" s="128" t="s">
        <v>62</v>
      </c>
      <c r="L40" s="63"/>
      <c r="M40" s="63">
        <f t="shared" si="5"/>
        <v>0</v>
      </c>
      <c r="N40" s="63">
        <f>L40+M40</f>
        <v>0</v>
      </c>
      <c r="O40" s="64">
        <f>N40/50500000</f>
        <v>0</v>
      </c>
      <c r="P40" s="129"/>
      <c r="Q40" s="130"/>
      <c r="R40" s="318"/>
      <c r="S40" s="319"/>
      <c r="T40" s="86"/>
      <c r="U40" s="87"/>
      <c r="V40" s="88">
        <f>$O$40/6</f>
        <v>0</v>
      </c>
      <c r="W40" s="88">
        <f t="shared" ref="W40:AA40" si="9">V40</f>
        <v>0</v>
      </c>
      <c r="X40" s="88">
        <f t="shared" si="9"/>
        <v>0</v>
      </c>
      <c r="Y40" s="88">
        <f t="shared" si="9"/>
        <v>0</v>
      </c>
      <c r="Z40" s="88">
        <f t="shared" si="9"/>
        <v>0</v>
      </c>
      <c r="AA40" s="88">
        <f t="shared" si="9"/>
        <v>0</v>
      </c>
      <c r="AB40" s="88"/>
      <c r="AC40" s="86"/>
      <c r="AD40" s="87"/>
      <c r="AE40" s="88"/>
      <c r="AF40" s="88"/>
      <c r="AG40" s="86"/>
      <c r="AH40" s="87"/>
      <c r="AI40" s="88"/>
      <c r="AJ40" s="88"/>
      <c r="AK40" s="86"/>
      <c r="AL40" s="87"/>
      <c r="AM40" s="88"/>
      <c r="AN40" s="88"/>
      <c r="AO40" s="86"/>
      <c r="AP40" s="87"/>
      <c r="AQ40" s="88"/>
      <c r="AR40" s="88"/>
      <c r="AS40" s="86"/>
      <c r="AT40" s="87"/>
      <c r="AU40" s="88"/>
      <c r="AV40" s="88"/>
      <c r="AW40" s="88"/>
      <c r="AX40" s="70"/>
      <c r="AY40" s="87"/>
      <c r="AZ40" s="88"/>
      <c r="BA40" s="88"/>
      <c r="BB40" s="88"/>
      <c r="BC40" s="86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34"/>
      <c r="CX40" s="134"/>
      <c r="CY40" s="134"/>
      <c r="CZ40" s="134"/>
      <c r="DA40" s="134"/>
      <c r="DB40" s="134"/>
      <c r="DC40" s="134"/>
      <c r="DD40" s="134"/>
      <c r="DE40" s="134"/>
      <c r="DF40" s="134"/>
      <c r="DG40" s="134"/>
      <c r="DH40" s="134"/>
      <c r="DI40" s="134"/>
      <c r="DJ40" s="134"/>
      <c r="DK40" s="134"/>
      <c r="DL40" s="134"/>
    </row>
    <row r="41" spans="1:116" ht="3.75" customHeight="1" x14ac:dyDescent="0.2">
      <c r="A41" s="104"/>
      <c r="B41" s="121"/>
      <c r="C41" s="106"/>
      <c r="D41" s="106"/>
      <c r="E41" s="106"/>
      <c r="F41" s="106"/>
      <c r="G41" s="106"/>
      <c r="H41" s="107"/>
      <c r="I41" s="122"/>
      <c r="J41" s="109"/>
      <c r="K41" s="123"/>
      <c r="L41" s="78"/>
      <c r="M41" s="63">
        <f t="shared" si="5"/>
        <v>0</v>
      </c>
      <c r="N41" s="63"/>
      <c r="O41" s="89"/>
      <c r="P41" s="131"/>
      <c r="Q41" s="132"/>
      <c r="R41" s="320"/>
      <c r="S41" s="321"/>
      <c r="T41" s="81"/>
      <c r="U41" s="82"/>
      <c r="V41" s="83"/>
      <c r="W41" s="83"/>
      <c r="X41" s="83"/>
      <c r="Y41" s="81"/>
      <c r="Z41" s="82"/>
      <c r="AA41" s="83"/>
      <c r="AB41" s="83"/>
      <c r="AC41" s="81"/>
      <c r="AD41" s="82"/>
      <c r="AE41" s="83"/>
      <c r="AF41" s="83"/>
      <c r="AG41" s="81"/>
      <c r="AH41" s="82"/>
      <c r="AI41" s="83"/>
      <c r="AJ41" s="83"/>
      <c r="AK41" s="81"/>
      <c r="AL41" s="82"/>
      <c r="AM41" s="83"/>
      <c r="AN41" s="83"/>
      <c r="AO41" s="81"/>
      <c r="AP41" s="82"/>
      <c r="AQ41" s="83"/>
      <c r="AR41" s="83"/>
      <c r="AS41" s="81"/>
      <c r="AT41" s="82"/>
      <c r="AU41" s="83"/>
      <c r="AV41" s="83"/>
      <c r="AW41" s="83"/>
      <c r="AX41" s="84"/>
      <c r="AY41" s="82"/>
      <c r="AZ41" s="83"/>
      <c r="BA41" s="83"/>
      <c r="BB41" s="83"/>
      <c r="BC41" s="8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</row>
    <row r="42" spans="1:116" ht="12.75" customHeight="1" x14ac:dyDescent="0.2">
      <c r="A42" s="126">
        <v>3040</v>
      </c>
      <c r="B42" s="127"/>
      <c r="C42" s="58" t="s">
        <v>65</v>
      </c>
      <c r="D42" s="58"/>
      <c r="E42" s="58"/>
      <c r="F42" s="58"/>
      <c r="G42" s="58"/>
      <c r="H42" s="59"/>
      <c r="I42" s="126"/>
      <c r="J42" s="61"/>
      <c r="K42" s="128" t="s">
        <v>62</v>
      </c>
      <c r="L42" s="63"/>
      <c r="M42" s="63">
        <f t="shared" si="5"/>
        <v>0</v>
      </c>
      <c r="N42" s="63">
        <f>L42+M42</f>
        <v>0</v>
      </c>
      <c r="O42" s="64">
        <f>N42/50500000</f>
        <v>0</v>
      </c>
      <c r="P42" s="129"/>
      <c r="Q42" s="130"/>
      <c r="R42" s="318"/>
      <c r="S42" s="319"/>
      <c r="T42" s="66">
        <f>$O$42/10</f>
        <v>0</v>
      </c>
      <c r="U42" s="92">
        <f t="shared" ref="U42:AC42" si="10">T42</f>
        <v>0</v>
      </c>
      <c r="V42" s="86">
        <f t="shared" si="10"/>
        <v>0</v>
      </c>
      <c r="W42" s="86">
        <f t="shared" si="10"/>
        <v>0</v>
      </c>
      <c r="X42" s="86">
        <f t="shared" si="10"/>
        <v>0</v>
      </c>
      <c r="Y42" s="86">
        <f t="shared" si="10"/>
        <v>0</v>
      </c>
      <c r="Z42" s="86">
        <f t="shared" si="10"/>
        <v>0</v>
      </c>
      <c r="AA42" s="86">
        <f t="shared" si="10"/>
        <v>0</v>
      </c>
      <c r="AB42" s="86">
        <f t="shared" si="10"/>
        <v>0</v>
      </c>
      <c r="AC42" s="86">
        <f t="shared" si="10"/>
        <v>0</v>
      </c>
      <c r="AD42" s="87"/>
      <c r="AE42" s="88"/>
      <c r="AF42" s="88"/>
      <c r="AG42" s="86"/>
      <c r="AH42" s="87"/>
      <c r="AI42" s="88"/>
      <c r="AJ42" s="88"/>
      <c r="AK42" s="86"/>
      <c r="AL42" s="87"/>
      <c r="AM42" s="88"/>
      <c r="AN42" s="88"/>
      <c r="AO42" s="86"/>
      <c r="AP42" s="87"/>
      <c r="AQ42" s="88"/>
      <c r="AR42" s="88"/>
      <c r="AS42" s="86"/>
      <c r="AT42" s="87"/>
      <c r="AU42" s="88"/>
      <c r="AV42" s="88"/>
      <c r="AW42" s="88"/>
      <c r="AX42" s="70"/>
      <c r="AY42" s="87"/>
      <c r="AZ42" s="88"/>
      <c r="BA42" s="88"/>
      <c r="BB42" s="88"/>
      <c r="BC42" s="86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34"/>
      <c r="CX42" s="134"/>
      <c r="CY42" s="134"/>
      <c r="CZ42" s="134"/>
      <c r="DA42" s="134"/>
      <c r="DB42" s="134"/>
      <c r="DC42" s="134"/>
      <c r="DD42" s="134"/>
      <c r="DE42" s="134"/>
      <c r="DF42" s="134"/>
      <c r="DG42" s="134"/>
      <c r="DH42" s="134"/>
      <c r="DI42" s="134"/>
      <c r="DJ42" s="134"/>
      <c r="DK42" s="134"/>
      <c r="DL42" s="134"/>
    </row>
    <row r="43" spans="1:116" ht="3.75" customHeight="1" x14ac:dyDescent="0.2">
      <c r="A43" s="104"/>
      <c r="B43" s="121"/>
      <c r="C43" s="106"/>
      <c r="D43" s="106"/>
      <c r="E43" s="106"/>
      <c r="F43" s="106"/>
      <c r="G43" s="106"/>
      <c r="H43" s="107"/>
      <c r="I43" s="122"/>
      <c r="J43" s="109"/>
      <c r="K43" s="123"/>
      <c r="L43" s="78"/>
      <c r="M43" s="63">
        <f t="shared" si="5"/>
        <v>0</v>
      </c>
      <c r="N43" s="63"/>
      <c r="O43" s="89"/>
      <c r="P43" s="131"/>
      <c r="Q43" s="132"/>
      <c r="R43" s="320"/>
      <c r="S43" s="321"/>
      <c r="T43" s="81"/>
      <c r="U43" s="82"/>
      <c r="V43" s="83"/>
      <c r="W43" s="83"/>
      <c r="X43" s="83"/>
      <c r="Y43" s="81"/>
      <c r="Z43" s="82"/>
      <c r="AA43" s="83"/>
      <c r="AB43" s="83"/>
      <c r="AC43" s="81"/>
      <c r="AD43" s="82"/>
      <c r="AE43" s="83"/>
      <c r="AF43" s="83"/>
      <c r="AG43" s="81"/>
      <c r="AH43" s="82"/>
      <c r="AI43" s="83"/>
      <c r="AJ43" s="83"/>
      <c r="AK43" s="81"/>
      <c r="AL43" s="82"/>
      <c r="AM43" s="83"/>
      <c r="AN43" s="83"/>
      <c r="AO43" s="81"/>
      <c r="AP43" s="82"/>
      <c r="AQ43" s="83"/>
      <c r="AR43" s="83"/>
      <c r="AS43" s="81"/>
      <c r="AT43" s="82"/>
      <c r="AU43" s="83"/>
      <c r="AV43" s="83"/>
      <c r="AW43" s="83"/>
      <c r="AX43" s="84"/>
      <c r="AY43" s="82"/>
      <c r="AZ43" s="83"/>
      <c r="BA43" s="83"/>
      <c r="BB43" s="83"/>
      <c r="BC43" s="8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34"/>
      <c r="CX43" s="134"/>
      <c r="CY43" s="134"/>
      <c r="CZ43" s="134"/>
      <c r="DA43" s="134"/>
      <c r="DB43" s="134"/>
      <c r="DC43" s="134"/>
      <c r="DD43" s="134"/>
      <c r="DE43" s="134"/>
      <c r="DF43" s="134"/>
      <c r="DG43" s="134"/>
      <c r="DH43" s="134"/>
      <c r="DI43" s="134"/>
      <c r="DJ43" s="134"/>
      <c r="DK43" s="134"/>
      <c r="DL43" s="134"/>
    </row>
    <row r="44" spans="1:116" ht="12.75" customHeight="1" x14ac:dyDescent="0.2">
      <c r="A44" s="24">
        <v>4000</v>
      </c>
      <c r="B44" s="25" t="s">
        <v>66</v>
      </c>
      <c r="C44" s="94"/>
      <c r="D44" s="94"/>
      <c r="E44" s="94"/>
      <c r="F44" s="94"/>
      <c r="G44" s="94"/>
      <c r="H44" s="95"/>
      <c r="I44" s="28"/>
      <c r="J44" s="29">
        <f>SUM(J46:J98)</f>
        <v>0</v>
      </c>
      <c r="K44" s="30"/>
      <c r="L44" s="29"/>
      <c r="M44" s="31"/>
      <c r="N44" s="33"/>
      <c r="O44" s="33"/>
      <c r="P44" s="98"/>
      <c r="Q44" s="99"/>
      <c r="R44" s="323"/>
      <c r="S44" s="315"/>
      <c r="T44" s="100"/>
      <c r="U44" s="101"/>
      <c r="V44" s="102"/>
      <c r="W44" s="102"/>
      <c r="X44" s="102"/>
      <c r="Y44" s="100"/>
      <c r="Z44" s="101"/>
      <c r="AA44" s="102"/>
      <c r="AB44" s="102"/>
      <c r="AC44" s="100"/>
      <c r="AD44" s="101"/>
      <c r="AE44" s="102"/>
      <c r="AF44" s="102"/>
      <c r="AG44" s="100"/>
      <c r="AH44" s="101"/>
      <c r="AI44" s="102"/>
      <c r="AJ44" s="102"/>
      <c r="AK44" s="100"/>
      <c r="AL44" s="101"/>
      <c r="AM44" s="102"/>
      <c r="AN44" s="102"/>
      <c r="AO44" s="100"/>
      <c r="AP44" s="101"/>
      <c r="AQ44" s="102"/>
      <c r="AR44" s="102"/>
      <c r="AS44" s="100"/>
      <c r="AT44" s="101"/>
      <c r="AU44" s="102"/>
      <c r="AV44" s="102"/>
      <c r="AW44" s="102"/>
      <c r="AX44" s="103"/>
      <c r="AY44" s="101"/>
      <c r="AZ44" s="102"/>
      <c r="BA44" s="102"/>
      <c r="BB44" s="102"/>
      <c r="BC44" s="100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</row>
    <row r="45" spans="1:116" ht="3.75" customHeight="1" x14ac:dyDescent="0.2">
      <c r="A45" s="104"/>
      <c r="B45" s="121"/>
      <c r="C45" s="106"/>
      <c r="D45" s="106"/>
      <c r="E45" s="106"/>
      <c r="F45" s="106"/>
      <c r="G45" s="106"/>
      <c r="H45" s="107"/>
      <c r="I45" s="122"/>
      <c r="J45" s="109"/>
      <c r="K45" s="123"/>
      <c r="L45" s="111"/>
      <c r="M45" s="63">
        <f t="shared" ref="M45:M99" si="11">L45*4260501/50500000</f>
        <v>0</v>
      </c>
      <c r="N45" s="63"/>
      <c r="O45" s="112"/>
      <c r="P45" s="124"/>
      <c r="Q45" s="125"/>
      <c r="R45" s="324"/>
      <c r="S45" s="317"/>
      <c r="T45" s="115"/>
      <c r="U45" s="116"/>
      <c r="V45" s="117"/>
      <c r="W45" s="117"/>
      <c r="X45" s="117"/>
      <c r="Y45" s="115"/>
      <c r="Z45" s="116"/>
      <c r="AA45" s="117"/>
      <c r="AB45" s="117"/>
      <c r="AC45" s="115"/>
      <c r="AD45" s="116"/>
      <c r="AE45" s="117"/>
      <c r="AF45" s="117"/>
      <c r="AG45" s="115"/>
      <c r="AH45" s="116"/>
      <c r="AI45" s="117"/>
      <c r="AJ45" s="117"/>
      <c r="AK45" s="115"/>
      <c r="AL45" s="116"/>
      <c r="AM45" s="117"/>
      <c r="AN45" s="117"/>
      <c r="AO45" s="115"/>
      <c r="AP45" s="116"/>
      <c r="AQ45" s="117"/>
      <c r="AR45" s="117"/>
      <c r="AS45" s="115"/>
      <c r="AT45" s="116"/>
      <c r="AU45" s="117"/>
      <c r="AV45" s="117"/>
      <c r="AW45" s="117"/>
      <c r="AX45" s="118"/>
      <c r="AY45" s="116"/>
      <c r="AZ45" s="117"/>
      <c r="BA45" s="117"/>
      <c r="BB45" s="117"/>
      <c r="BC45" s="115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</row>
    <row r="46" spans="1:116" ht="12.75" customHeight="1" x14ac:dyDescent="0.2">
      <c r="A46" s="56">
        <v>4110</v>
      </c>
      <c r="B46" s="127"/>
      <c r="C46" s="58" t="s">
        <v>67</v>
      </c>
      <c r="D46" s="134"/>
      <c r="E46" s="58"/>
      <c r="F46" s="58"/>
      <c r="G46" s="58"/>
      <c r="H46" s="59"/>
      <c r="I46" s="126"/>
      <c r="J46" s="135"/>
      <c r="K46" s="128"/>
      <c r="L46" s="63"/>
      <c r="M46" s="63">
        <f t="shared" si="11"/>
        <v>0</v>
      </c>
      <c r="N46" s="63">
        <f>L46+M46</f>
        <v>0</v>
      </c>
      <c r="O46" s="64">
        <f>N46/50500000</f>
        <v>0</v>
      </c>
      <c r="P46" s="129"/>
      <c r="Q46" s="130"/>
      <c r="R46" s="318">
        <f>O46/6</f>
        <v>0</v>
      </c>
      <c r="S46" s="319"/>
      <c r="T46" s="86">
        <f>O46/6</f>
        <v>0</v>
      </c>
      <c r="U46" s="87">
        <f t="shared" ref="U46:X46" si="12">T46</f>
        <v>0</v>
      </c>
      <c r="V46" s="87">
        <f t="shared" si="12"/>
        <v>0</v>
      </c>
      <c r="W46" s="87">
        <f t="shared" si="12"/>
        <v>0</v>
      </c>
      <c r="X46" s="87">
        <f t="shared" si="12"/>
        <v>0</v>
      </c>
      <c r="Y46" s="86"/>
      <c r="Z46" s="87"/>
      <c r="AA46" s="88"/>
      <c r="AB46" s="88"/>
      <c r="AC46" s="86"/>
      <c r="AD46" s="87"/>
      <c r="AE46" s="88"/>
      <c r="AF46" s="88"/>
      <c r="AG46" s="86"/>
      <c r="AH46" s="87"/>
      <c r="AI46" s="88"/>
      <c r="AJ46" s="88"/>
      <c r="AK46" s="86"/>
      <c r="AL46" s="87"/>
      <c r="AM46" s="88"/>
      <c r="AN46" s="88"/>
      <c r="AO46" s="86"/>
      <c r="AP46" s="87"/>
      <c r="AQ46" s="88"/>
      <c r="AR46" s="88"/>
      <c r="AS46" s="86"/>
      <c r="AT46" s="87"/>
      <c r="AU46" s="88"/>
      <c r="AV46" s="88"/>
      <c r="AW46" s="88"/>
      <c r="AX46" s="70"/>
      <c r="AY46" s="87"/>
      <c r="AZ46" s="88"/>
      <c r="BA46" s="88"/>
      <c r="BB46" s="88"/>
      <c r="BC46" s="86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34"/>
      <c r="CX46" s="134"/>
      <c r="CY46" s="134"/>
      <c r="CZ46" s="134"/>
      <c r="DA46" s="134"/>
      <c r="DB46" s="134"/>
      <c r="DC46" s="134"/>
      <c r="DD46" s="134"/>
      <c r="DE46" s="134"/>
      <c r="DF46" s="134"/>
      <c r="DG46" s="134"/>
      <c r="DH46" s="134"/>
      <c r="DI46" s="134"/>
      <c r="DJ46" s="134"/>
      <c r="DK46" s="134"/>
      <c r="DL46" s="134"/>
    </row>
    <row r="47" spans="1:116" ht="3.75" customHeight="1" x14ac:dyDescent="0.2">
      <c r="A47" s="71"/>
      <c r="B47" s="136"/>
      <c r="C47" s="73"/>
      <c r="D47" s="73"/>
      <c r="E47" s="73"/>
      <c r="F47" s="73"/>
      <c r="G47" s="73"/>
      <c r="H47" s="74"/>
      <c r="I47" s="137"/>
      <c r="J47" s="138"/>
      <c r="K47" s="139"/>
      <c r="L47" s="78"/>
      <c r="M47" s="63">
        <f t="shared" si="11"/>
        <v>0</v>
      </c>
      <c r="N47" s="63"/>
      <c r="O47" s="89"/>
      <c r="P47" s="131"/>
      <c r="Q47" s="132"/>
      <c r="R47" s="320"/>
      <c r="S47" s="321"/>
      <c r="T47" s="81"/>
      <c r="U47" s="82"/>
      <c r="V47" s="83"/>
      <c r="W47" s="83"/>
      <c r="X47" s="83"/>
      <c r="Y47" s="81"/>
      <c r="Z47" s="82"/>
      <c r="AA47" s="83"/>
      <c r="AB47" s="83"/>
      <c r="AC47" s="81"/>
      <c r="AD47" s="82"/>
      <c r="AE47" s="83"/>
      <c r="AF47" s="83"/>
      <c r="AG47" s="81"/>
      <c r="AH47" s="82"/>
      <c r="AI47" s="83"/>
      <c r="AJ47" s="83"/>
      <c r="AK47" s="81"/>
      <c r="AL47" s="82"/>
      <c r="AM47" s="83"/>
      <c r="AN47" s="83"/>
      <c r="AO47" s="81"/>
      <c r="AP47" s="82"/>
      <c r="AQ47" s="83"/>
      <c r="AR47" s="83"/>
      <c r="AS47" s="81"/>
      <c r="AT47" s="82"/>
      <c r="AU47" s="83"/>
      <c r="AV47" s="83"/>
      <c r="AW47" s="83"/>
      <c r="AX47" s="84"/>
      <c r="AY47" s="82"/>
      <c r="AZ47" s="83"/>
      <c r="BA47" s="83"/>
      <c r="BB47" s="83"/>
      <c r="BC47" s="8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40"/>
      <c r="CX47" s="140"/>
      <c r="CY47" s="140"/>
      <c r="CZ47" s="140"/>
      <c r="DA47" s="140"/>
      <c r="DB47" s="140"/>
      <c r="DC47" s="140"/>
      <c r="DD47" s="140"/>
      <c r="DE47" s="140"/>
      <c r="DF47" s="140"/>
      <c r="DG47" s="140"/>
      <c r="DH47" s="140"/>
      <c r="DI47" s="140"/>
      <c r="DJ47" s="140"/>
      <c r="DK47" s="140"/>
      <c r="DL47" s="140"/>
    </row>
    <row r="48" spans="1:116" ht="12.75" customHeight="1" x14ac:dyDescent="0.2">
      <c r="A48" s="56">
        <v>4120</v>
      </c>
      <c r="B48" s="127"/>
      <c r="C48" s="58" t="s">
        <v>68</v>
      </c>
      <c r="D48" s="134"/>
      <c r="E48" s="58"/>
      <c r="F48" s="58"/>
      <c r="G48" s="58"/>
      <c r="H48" s="59"/>
      <c r="I48" s="126"/>
      <c r="J48" s="135"/>
      <c r="K48" s="128"/>
      <c r="L48" s="63"/>
      <c r="M48" s="63">
        <f t="shared" si="11"/>
        <v>0</v>
      </c>
      <c r="N48" s="63">
        <f>L48+M48</f>
        <v>0</v>
      </c>
      <c r="O48" s="64">
        <f>N48/50500000</f>
        <v>0</v>
      </c>
      <c r="P48" s="129"/>
      <c r="Q48" s="130"/>
      <c r="R48" s="318"/>
      <c r="S48" s="319"/>
      <c r="T48" s="86"/>
      <c r="U48" s="87"/>
      <c r="V48" s="88"/>
      <c r="W48" s="88">
        <f t="shared" ref="W48:X48" si="13">$O$48/5</f>
        <v>0</v>
      </c>
      <c r="X48" s="88">
        <f t="shared" si="13"/>
        <v>0</v>
      </c>
      <c r="Y48" s="88">
        <f t="shared" ref="Y48:AA48" si="14">X48</f>
        <v>0</v>
      </c>
      <c r="Z48" s="88">
        <f t="shared" si="14"/>
        <v>0</v>
      </c>
      <c r="AA48" s="88">
        <f t="shared" si="14"/>
        <v>0</v>
      </c>
      <c r="AB48" s="88"/>
      <c r="AC48" s="86"/>
      <c r="AD48" s="87"/>
      <c r="AE48" s="88"/>
      <c r="AF48" s="88"/>
      <c r="AG48" s="86"/>
      <c r="AH48" s="87"/>
      <c r="AI48" s="88"/>
      <c r="AJ48" s="88"/>
      <c r="AK48" s="86"/>
      <c r="AL48" s="87"/>
      <c r="AM48" s="88"/>
      <c r="AN48" s="88"/>
      <c r="AO48" s="86"/>
      <c r="AP48" s="87"/>
      <c r="AQ48" s="88"/>
      <c r="AR48" s="88"/>
      <c r="AS48" s="86"/>
      <c r="AT48" s="87"/>
      <c r="AU48" s="88"/>
      <c r="AV48" s="88"/>
      <c r="AW48" s="88"/>
      <c r="AX48" s="70"/>
      <c r="AY48" s="87"/>
      <c r="AZ48" s="88"/>
      <c r="BA48" s="88"/>
      <c r="BB48" s="88"/>
      <c r="BC48" s="86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34"/>
      <c r="CX48" s="134"/>
      <c r="CY48" s="134"/>
      <c r="CZ48" s="134"/>
      <c r="DA48" s="134"/>
      <c r="DB48" s="134"/>
      <c r="DC48" s="134"/>
      <c r="DD48" s="134"/>
      <c r="DE48" s="134"/>
      <c r="DF48" s="134"/>
      <c r="DG48" s="134"/>
      <c r="DH48" s="134"/>
      <c r="DI48" s="134"/>
      <c r="DJ48" s="134"/>
      <c r="DK48" s="134"/>
      <c r="DL48" s="134"/>
    </row>
    <row r="49" spans="1:116" ht="3.75" customHeight="1" x14ac:dyDescent="0.2">
      <c r="A49" s="71"/>
      <c r="B49" s="136"/>
      <c r="C49" s="73"/>
      <c r="D49" s="73"/>
      <c r="E49" s="73"/>
      <c r="F49" s="73"/>
      <c r="G49" s="73"/>
      <c r="H49" s="74"/>
      <c r="I49" s="137"/>
      <c r="J49" s="138"/>
      <c r="K49" s="139"/>
      <c r="L49" s="78"/>
      <c r="M49" s="63">
        <f t="shared" si="11"/>
        <v>0</v>
      </c>
      <c r="N49" s="63"/>
      <c r="O49" s="89"/>
      <c r="P49" s="131"/>
      <c r="Q49" s="132"/>
      <c r="R49" s="320"/>
      <c r="S49" s="321"/>
      <c r="T49" s="81"/>
      <c r="U49" s="82"/>
      <c r="V49" s="83"/>
      <c r="W49" s="83"/>
      <c r="X49" s="83"/>
      <c r="Y49" s="81"/>
      <c r="Z49" s="82"/>
      <c r="AA49" s="83"/>
      <c r="AB49" s="83"/>
      <c r="AC49" s="81"/>
      <c r="AD49" s="82"/>
      <c r="AE49" s="83"/>
      <c r="AF49" s="83"/>
      <c r="AG49" s="81"/>
      <c r="AH49" s="82"/>
      <c r="AI49" s="83"/>
      <c r="AJ49" s="83"/>
      <c r="AK49" s="81"/>
      <c r="AL49" s="82"/>
      <c r="AM49" s="83"/>
      <c r="AN49" s="83"/>
      <c r="AO49" s="81"/>
      <c r="AP49" s="82"/>
      <c r="AQ49" s="83"/>
      <c r="AR49" s="83"/>
      <c r="AS49" s="81"/>
      <c r="AT49" s="82"/>
      <c r="AU49" s="83"/>
      <c r="AV49" s="83"/>
      <c r="AW49" s="83"/>
      <c r="AX49" s="84"/>
      <c r="AY49" s="82"/>
      <c r="AZ49" s="83"/>
      <c r="BA49" s="83"/>
      <c r="BB49" s="83"/>
      <c r="BC49" s="8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40"/>
      <c r="CX49" s="140"/>
      <c r="CY49" s="140"/>
      <c r="CZ49" s="140"/>
      <c r="DA49" s="140"/>
      <c r="DB49" s="140"/>
      <c r="DC49" s="140"/>
      <c r="DD49" s="140"/>
      <c r="DE49" s="140"/>
      <c r="DF49" s="140"/>
      <c r="DG49" s="140"/>
      <c r="DH49" s="140"/>
      <c r="DI49" s="140"/>
      <c r="DJ49" s="140"/>
      <c r="DK49" s="140"/>
      <c r="DL49" s="140"/>
    </row>
    <row r="50" spans="1:116" ht="12.75" customHeight="1" x14ac:dyDescent="0.2">
      <c r="A50" s="134">
        <v>4130</v>
      </c>
      <c r="B50" s="127"/>
      <c r="C50" s="58" t="s">
        <v>69</v>
      </c>
      <c r="D50" s="134"/>
      <c r="E50" s="58"/>
      <c r="F50" s="58"/>
      <c r="G50" s="58"/>
      <c r="H50" s="59"/>
      <c r="I50" s="126"/>
      <c r="J50" s="135"/>
      <c r="K50" s="128"/>
      <c r="L50" s="63"/>
      <c r="M50" s="63">
        <f t="shared" si="11"/>
        <v>0</v>
      </c>
      <c r="N50" s="63">
        <f>L50+M50</f>
        <v>0</v>
      </c>
      <c r="O50" s="64">
        <f>N50/50500000</f>
        <v>0</v>
      </c>
      <c r="P50" s="129"/>
      <c r="Q50" s="130"/>
      <c r="R50" s="318"/>
      <c r="S50" s="319"/>
      <c r="T50" s="86"/>
      <c r="U50" s="87"/>
      <c r="V50" s="88"/>
      <c r="W50" s="88"/>
      <c r="X50" s="88">
        <f>O50/4.25</f>
        <v>0</v>
      </c>
      <c r="Y50" s="86">
        <f t="shared" ref="Y50:AA50" si="15">X50</f>
        <v>0</v>
      </c>
      <c r="Z50" s="86">
        <f t="shared" si="15"/>
        <v>0</v>
      </c>
      <c r="AA50" s="86">
        <f t="shared" si="15"/>
        <v>0</v>
      </c>
      <c r="AB50" s="88">
        <f>$O$50*0.25/4.25</f>
        <v>0</v>
      </c>
      <c r="AC50" s="86"/>
      <c r="AD50" s="87"/>
      <c r="AE50" s="88"/>
      <c r="AF50" s="88"/>
      <c r="AG50" s="86"/>
      <c r="AH50" s="87"/>
      <c r="AI50" s="88"/>
      <c r="AJ50" s="88"/>
      <c r="AK50" s="86"/>
      <c r="AL50" s="87"/>
      <c r="AM50" s="88"/>
      <c r="AN50" s="88"/>
      <c r="AO50" s="86"/>
      <c r="AP50" s="87"/>
      <c r="AQ50" s="88"/>
      <c r="AR50" s="88"/>
      <c r="AS50" s="86"/>
      <c r="AT50" s="87"/>
      <c r="AU50" s="88"/>
      <c r="AV50" s="88"/>
      <c r="AW50" s="88"/>
      <c r="AX50" s="70"/>
      <c r="AY50" s="87"/>
      <c r="AZ50" s="88"/>
      <c r="BA50" s="88"/>
      <c r="BB50" s="88"/>
      <c r="BC50" s="86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34"/>
      <c r="CX50" s="134"/>
      <c r="CY50" s="134"/>
      <c r="CZ50" s="134"/>
      <c r="DA50" s="134"/>
      <c r="DB50" s="134"/>
      <c r="DC50" s="134"/>
      <c r="DD50" s="134"/>
      <c r="DE50" s="134"/>
      <c r="DF50" s="134"/>
      <c r="DG50" s="134"/>
      <c r="DH50" s="134"/>
      <c r="DI50" s="134"/>
      <c r="DJ50" s="134"/>
      <c r="DK50" s="134"/>
      <c r="DL50" s="134"/>
    </row>
    <row r="51" spans="1:116" ht="3.75" customHeight="1" x14ac:dyDescent="0.2">
      <c r="A51" s="140"/>
      <c r="B51" s="136"/>
      <c r="C51" s="73"/>
      <c r="D51" s="73"/>
      <c r="E51" s="73"/>
      <c r="F51" s="73"/>
      <c r="G51" s="73"/>
      <c r="H51" s="74"/>
      <c r="I51" s="137"/>
      <c r="J51" s="138"/>
      <c r="K51" s="139"/>
      <c r="L51" s="78"/>
      <c r="M51" s="63">
        <f t="shared" si="11"/>
        <v>0</v>
      </c>
      <c r="N51" s="63"/>
      <c r="O51" s="89"/>
      <c r="P51" s="131"/>
      <c r="Q51" s="132"/>
      <c r="R51" s="320"/>
      <c r="S51" s="321"/>
      <c r="T51" s="81"/>
      <c r="U51" s="82"/>
      <c r="V51" s="83"/>
      <c r="W51" s="83"/>
      <c r="X51" s="83"/>
      <c r="Y51" s="81"/>
      <c r="Z51" s="82"/>
      <c r="AA51" s="83"/>
      <c r="AB51" s="83"/>
      <c r="AC51" s="81"/>
      <c r="AD51" s="82"/>
      <c r="AE51" s="83"/>
      <c r="AF51" s="83"/>
      <c r="AG51" s="81"/>
      <c r="AH51" s="82"/>
      <c r="AI51" s="83"/>
      <c r="AJ51" s="83"/>
      <c r="AK51" s="81"/>
      <c r="AL51" s="82"/>
      <c r="AM51" s="83"/>
      <c r="AN51" s="83"/>
      <c r="AO51" s="81"/>
      <c r="AP51" s="82"/>
      <c r="AQ51" s="83"/>
      <c r="AR51" s="83"/>
      <c r="AS51" s="81"/>
      <c r="AT51" s="82"/>
      <c r="AU51" s="83"/>
      <c r="AV51" s="83"/>
      <c r="AW51" s="83"/>
      <c r="AX51" s="84"/>
      <c r="AY51" s="82"/>
      <c r="AZ51" s="83"/>
      <c r="BA51" s="83"/>
      <c r="BB51" s="83"/>
      <c r="BC51" s="8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40"/>
      <c r="CX51" s="140"/>
      <c r="CY51" s="140"/>
      <c r="CZ51" s="140"/>
      <c r="DA51" s="140"/>
      <c r="DB51" s="140"/>
      <c r="DC51" s="140"/>
      <c r="DD51" s="140"/>
      <c r="DE51" s="140"/>
      <c r="DF51" s="140"/>
      <c r="DG51" s="140"/>
      <c r="DH51" s="140"/>
      <c r="DI51" s="140"/>
      <c r="DJ51" s="140"/>
      <c r="DK51" s="140"/>
      <c r="DL51" s="140"/>
    </row>
    <row r="52" spans="1:116" ht="12.75" customHeight="1" x14ac:dyDescent="0.2">
      <c r="A52" s="56">
        <v>4140</v>
      </c>
      <c r="B52" s="127"/>
      <c r="C52" s="58" t="s">
        <v>70</v>
      </c>
      <c r="D52" s="134"/>
      <c r="E52" s="58"/>
      <c r="F52" s="58"/>
      <c r="G52" s="58"/>
      <c r="H52" s="59"/>
      <c r="I52" s="126"/>
      <c r="J52" s="135"/>
      <c r="K52" s="128"/>
      <c r="L52" s="63"/>
      <c r="M52" s="63">
        <f t="shared" si="11"/>
        <v>0</v>
      </c>
      <c r="N52" s="63">
        <f>L52+M52</f>
        <v>0</v>
      </c>
      <c r="O52" s="64">
        <f>N52/50500000</f>
        <v>0</v>
      </c>
      <c r="P52" s="129"/>
      <c r="Q52" s="130"/>
      <c r="R52" s="318"/>
      <c r="S52" s="319"/>
      <c r="T52" s="86"/>
      <c r="U52" s="87"/>
      <c r="V52" s="88"/>
      <c r="W52" s="88"/>
      <c r="X52" s="88"/>
      <c r="Y52" s="86"/>
      <c r="Z52" s="87"/>
      <c r="AA52" s="88"/>
      <c r="AB52" s="88">
        <f>O52/2</f>
        <v>0</v>
      </c>
      <c r="AC52" s="86">
        <f>AB52</f>
        <v>0</v>
      </c>
      <c r="AD52" s="87"/>
      <c r="AE52" s="88"/>
      <c r="AF52" s="88"/>
      <c r="AG52" s="86"/>
      <c r="AH52" s="87"/>
      <c r="AI52" s="88"/>
      <c r="AJ52" s="88"/>
      <c r="AK52" s="86"/>
      <c r="AL52" s="87"/>
      <c r="AM52" s="88"/>
      <c r="AN52" s="88"/>
      <c r="AO52" s="86"/>
      <c r="AP52" s="87"/>
      <c r="AQ52" s="88"/>
      <c r="AR52" s="88"/>
      <c r="AS52" s="86"/>
      <c r="AT52" s="87"/>
      <c r="AU52" s="88"/>
      <c r="AV52" s="88"/>
      <c r="AW52" s="88"/>
      <c r="AX52" s="70"/>
      <c r="AY52" s="87"/>
      <c r="AZ52" s="88"/>
      <c r="BA52" s="88"/>
      <c r="BB52" s="88"/>
      <c r="BC52" s="86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34"/>
      <c r="CX52" s="134"/>
      <c r="CY52" s="134"/>
      <c r="CZ52" s="134"/>
      <c r="DA52" s="134"/>
      <c r="DB52" s="134"/>
      <c r="DC52" s="134"/>
      <c r="DD52" s="134"/>
      <c r="DE52" s="134"/>
      <c r="DF52" s="134"/>
      <c r="DG52" s="134"/>
      <c r="DH52" s="134"/>
      <c r="DI52" s="134"/>
      <c r="DJ52" s="134"/>
      <c r="DK52" s="134"/>
      <c r="DL52" s="134"/>
    </row>
    <row r="53" spans="1:116" ht="3.75" customHeight="1" x14ac:dyDescent="0.2">
      <c r="A53" s="71"/>
      <c r="B53" s="136"/>
      <c r="C53" s="73"/>
      <c r="D53" s="73"/>
      <c r="E53" s="73"/>
      <c r="F53" s="73"/>
      <c r="G53" s="73"/>
      <c r="H53" s="74"/>
      <c r="I53" s="137"/>
      <c r="J53" s="138"/>
      <c r="K53" s="139"/>
      <c r="L53" s="78"/>
      <c r="M53" s="63">
        <f t="shared" si="11"/>
        <v>0</v>
      </c>
      <c r="N53" s="63"/>
      <c r="O53" s="89"/>
      <c r="P53" s="131"/>
      <c r="Q53" s="132"/>
      <c r="R53" s="320"/>
      <c r="S53" s="321"/>
      <c r="T53" s="81"/>
      <c r="U53" s="82"/>
      <c r="V53" s="83"/>
      <c r="W53" s="83"/>
      <c r="X53" s="83"/>
      <c r="Y53" s="81"/>
      <c r="Z53" s="82"/>
      <c r="AA53" s="83"/>
      <c r="AB53" s="83"/>
      <c r="AC53" s="81"/>
      <c r="AD53" s="82"/>
      <c r="AE53" s="83"/>
      <c r="AF53" s="83"/>
      <c r="AG53" s="81"/>
      <c r="AH53" s="82"/>
      <c r="AI53" s="83"/>
      <c r="AJ53" s="83"/>
      <c r="AK53" s="81"/>
      <c r="AL53" s="82"/>
      <c r="AM53" s="83"/>
      <c r="AN53" s="83"/>
      <c r="AO53" s="81"/>
      <c r="AP53" s="82"/>
      <c r="AQ53" s="83"/>
      <c r="AR53" s="83"/>
      <c r="AS53" s="81"/>
      <c r="AT53" s="82"/>
      <c r="AU53" s="83"/>
      <c r="AV53" s="83"/>
      <c r="AW53" s="83"/>
      <c r="AX53" s="84"/>
      <c r="AY53" s="82"/>
      <c r="AZ53" s="83"/>
      <c r="BA53" s="83"/>
      <c r="BB53" s="83"/>
      <c r="BC53" s="8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40"/>
      <c r="CX53" s="140"/>
      <c r="CY53" s="140"/>
      <c r="CZ53" s="140"/>
      <c r="DA53" s="140"/>
      <c r="DB53" s="140"/>
      <c r="DC53" s="140"/>
      <c r="DD53" s="140"/>
      <c r="DE53" s="140"/>
      <c r="DF53" s="140"/>
      <c r="DG53" s="140"/>
      <c r="DH53" s="140"/>
      <c r="DI53" s="140"/>
      <c r="DJ53" s="140"/>
      <c r="DK53" s="140"/>
      <c r="DL53" s="140"/>
    </row>
    <row r="54" spans="1:116" ht="12.75" customHeight="1" x14ac:dyDescent="0.2">
      <c r="A54" s="56">
        <v>4150</v>
      </c>
      <c r="B54" s="127"/>
      <c r="C54" s="58" t="s">
        <v>71</v>
      </c>
      <c r="D54" s="58"/>
      <c r="E54" s="58"/>
      <c r="F54" s="58"/>
      <c r="G54" s="58"/>
      <c r="H54" s="59"/>
      <c r="I54" s="126"/>
      <c r="J54" s="135"/>
      <c r="K54" s="128"/>
      <c r="L54" s="63"/>
      <c r="M54" s="63">
        <f t="shared" si="11"/>
        <v>0</v>
      </c>
      <c r="N54" s="63">
        <f>L54+M54</f>
        <v>0</v>
      </c>
      <c r="O54" s="64">
        <f>N54/50500000</f>
        <v>0</v>
      </c>
      <c r="P54" s="129"/>
      <c r="Q54" s="130"/>
      <c r="R54" s="318"/>
      <c r="S54" s="319"/>
      <c r="T54" s="86"/>
      <c r="U54" s="87"/>
      <c r="V54" s="88"/>
      <c r="W54" s="88"/>
      <c r="X54" s="88"/>
      <c r="Y54" s="86"/>
      <c r="Z54" s="87"/>
      <c r="AA54" s="88"/>
      <c r="AB54" s="88"/>
      <c r="AC54" s="86">
        <f>O54/3</f>
        <v>0</v>
      </c>
      <c r="AD54" s="87">
        <f t="shared" ref="AD54:AE54" si="16">AC54</f>
        <v>0</v>
      </c>
      <c r="AE54" s="88">
        <f t="shared" si="16"/>
        <v>0</v>
      </c>
      <c r="AF54" s="88"/>
      <c r="AG54" s="86"/>
      <c r="AH54" s="87"/>
      <c r="AI54" s="88"/>
      <c r="AJ54" s="88"/>
      <c r="AK54" s="86"/>
      <c r="AL54" s="87"/>
      <c r="AM54" s="88"/>
      <c r="AN54" s="88"/>
      <c r="AO54" s="86"/>
      <c r="AP54" s="87"/>
      <c r="AQ54" s="88"/>
      <c r="AR54" s="88"/>
      <c r="AS54" s="86"/>
      <c r="AT54" s="87"/>
      <c r="AU54" s="88"/>
      <c r="AV54" s="88"/>
      <c r="AW54" s="88"/>
      <c r="AX54" s="70"/>
      <c r="AY54" s="87"/>
      <c r="AZ54" s="88"/>
      <c r="BA54" s="88"/>
      <c r="BB54" s="88"/>
      <c r="BC54" s="86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34"/>
      <c r="CX54" s="134"/>
      <c r="CY54" s="134"/>
      <c r="CZ54" s="134"/>
      <c r="DA54" s="134"/>
      <c r="DB54" s="134"/>
      <c r="DC54" s="134"/>
      <c r="DD54" s="134"/>
      <c r="DE54" s="134"/>
      <c r="DF54" s="134"/>
      <c r="DG54" s="134"/>
      <c r="DH54" s="134"/>
      <c r="DI54" s="134"/>
      <c r="DJ54" s="134"/>
      <c r="DK54" s="134"/>
      <c r="DL54" s="134"/>
    </row>
    <row r="55" spans="1:116" ht="3.75" customHeight="1" x14ac:dyDescent="0.2">
      <c r="A55" s="71"/>
      <c r="B55" s="136"/>
      <c r="C55" s="73"/>
      <c r="D55" s="73"/>
      <c r="E55" s="73"/>
      <c r="F55" s="73"/>
      <c r="G55" s="73"/>
      <c r="H55" s="74"/>
      <c r="I55" s="137"/>
      <c r="J55" s="138"/>
      <c r="K55" s="139"/>
      <c r="L55" s="78"/>
      <c r="M55" s="63">
        <f t="shared" si="11"/>
        <v>0</v>
      </c>
      <c r="N55" s="63"/>
      <c r="O55" s="89"/>
      <c r="P55" s="131"/>
      <c r="Q55" s="132"/>
      <c r="R55" s="320"/>
      <c r="S55" s="321"/>
      <c r="T55" s="81"/>
      <c r="U55" s="82"/>
      <c r="V55" s="83"/>
      <c r="W55" s="83"/>
      <c r="X55" s="83"/>
      <c r="Y55" s="81"/>
      <c r="Z55" s="82"/>
      <c r="AA55" s="83"/>
      <c r="AB55" s="83"/>
      <c r="AC55" s="81"/>
      <c r="AD55" s="82"/>
      <c r="AE55" s="83"/>
      <c r="AF55" s="83"/>
      <c r="AG55" s="81"/>
      <c r="AH55" s="82"/>
      <c r="AI55" s="83"/>
      <c r="AJ55" s="83"/>
      <c r="AK55" s="81"/>
      <c r="AL55" s="82"/>
      <c r="AM55" s="83"/>
      <c r="AN55" s="83"/>
      <c r="AO55" s="81"/>
      <c r="AP55" s="82"/>
      <c r="AQ55" s="83"/>
      <c r="AR55" s="83"/>
      <c r="AS55" s="81"/>
      <c r="AT55" s="82"/>
      <c r="AU55" s="83"/>
      <c r="AV55" s="83"/>
      <c r="AW55" s="83"/>
      <c r="AX55" s="84"/>
      <c r="AY55" s="82"/>
      <c r="AZ55" s="83"/>
      <c r="BA55" s="83"/>
      <c r="BB55" s="83"/>
      <c r="BC55" s="8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40"/>
      <c r="CX55" s="140"/>
      <c r="CY55" s="140"/>
      <c r="CZ55" s="140"/>
      <c r="DA55" s="140"/>
      <c r="DB55" s="140"/>
      <c r="DC55" s="140"/>
      <c r="DD55" s="140"/>
      <c r="DE55" s="140"/>
      <c r="DF55" s="140"/>
      <c r="DG55" s="140"/>
      <c r="DH55" s="140"/>
      <c r="DI55" s="140"/>
      <c r="DJ55" s="140"/>
      <c r="DK55" s="140"/>
      <c r="DL55" s="140"/>
    </row>
    <row r="56" spans="1:116" ht="12.75" customHeight="1" x14ac:dyDescent="0.2">
      <c r="A56" s="56">
        <v>4160</v>
      </c>
      <c r="B56" s="127"/>
      <c r="C56" s="58" t="s">
        <v>72</v>
      </c>
      <c r="D56" s="58"/>
      <c r="E56" s="58"/>
      <c r="F56" s="58"/>
      <c r="G56" s="58"/>
      <c r="H56" s="59"/>
      <c r="I56" s="126"/>
      <c r="J56" s="135"/>
      <c r="K56" s="128"/>
      <c r="L56" s="63"/>
      <c r="M56" s="63">
        <f t="shared" si="11"/>
        <v>0</v>
      </c>
      <c r="N56" s="63">
        <f>L56+M56</f>
        <v>0</v>
      </c>
      <c r="O56" s="64">
        <f>N56/50500000</f>
        <v>0</v>
      </c>
      <c r="P56" s="129"/>
      <c r="Q56" s="130"/>
      <c r="R56" s="318"/>
      <c r="S56" s="319"/>
      <c r="T56" s="86"/>
      <c r="U56" s="87"/>
      <c r="V56" s="88"/>
      <c r="W56" s="88"/>
      <c r="X56" s="88"/>
      <c r="Y56" s="86"/>
      <c r="Z56" s="87"/>
      <c r="AA56" s="88"/>
      <c r="AB56" s="88"/>
      <c r="AC56" s="86"/>
      <c r="AD56" s="87"/>
      <c r="AE56" s="88">
        <f>O56/2</f>
        <v>0</v>
      </c>
      <c r="AF56" s="88">
        <f>AE56</f>
        <v>0</v>
      </c>
      <c r="AG56" s="86"/>
      <c r="AH56" s="87"/>
      <c r="AI56" s="88"/>
      <c r="AJ56" s="88"/>
      <c r="AK56" s="86"/>
      <c r="AL56" s="87"/>
      <c r="AM56" s="88"/>
      <c r="AN56" s="88"/>
      <c r="AO56" s="86"/>
      <c r="AP56" s="87"/>
      <c r="AQ56" s="88"/>
      <c r="AR56" s="88"/>
      <c r="AS56" s="86"/>
      <c r="AT56" s="87"/>
      <c r="AU56" s="88"/>
      <c r="AV56" s="88"/>
      <c r="AW56" s="88"/>
      <c r="AX56" s="70"/>
      <c r="AY56" s="87"/>
      <c r="AZ56" s="88"/>
      <c r="BA56" s="88"/>
      <c r="BB56" s="88"/>
      <c r="BC56" s="86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34"/>
      <c r="CX56" s="134"/>
      <c r="CY56" s="134"/>
      <c r="CZ56" s="134"/>
      <c r="DA56" s="134"/>
      <c r="DB56" s="134"/>
      <c r="DC56" s="134"/>
      <c r="DD56" s="134"/>
      <c r="DE56" s="134"/>
      <c r="DF56" s="134"/>
      <c r="DG56" s="134"/>
      <c r="DH56" s="134"/>
      <c r="DI56" s="134"/>
      <c r="DJ56" s="134"/>
      <c r="DK56" s="134"/>
      <c r="DL56" s="134"/>
    </row>
    <row r="57" spans="1:116" ht="3.75" customHeight="1" x14ac:dyDescent="0.2">
      <c r="A57" s="71"/>
      <c r="B57" s="136"/>
      <c r="C57" s="73"/>
      <c r="D57" s="73"/>
      <c r="E57" s="73"/>
      <c r="F57" s="73"/>
      <c r="G57" s="73"/>
      <c r="H57" s="74"/>
      <c r="I57" s="137"/>
      <c r="J57" s="138"/>
      <c r="K57" s="139"/>
      <c r="L57" s="78"/>
      <c r="M57" s="63">
        <f t="shared" si="11"/>
        <v>0</v>
      </c>
      <c r="N57" s="63"/>
      <c r="O57" s="89"/>
      <c r="P57" s="131"/>
      <c r="Q57" s="132"/>
      <c r="R57" s="320"/>
      <c r="S57" s="321"/>
      <c r="T57" s="81"/>
      <c r="U57" s="82"/>
      <c r="V57" s="83"/>
      <c r="W57" s="83"/>
      <c r="X57" s="83"/>
      <c r="Y57" s="81"/>
      <c r="Z57" s="82"/>
      <c r="AA57" s="83"/>
      <c r="AB57" s="83"/>
      <c r="AC57" s="81"/>
      <c r="AD57" s="82"/>
      <c r="AE57" s="83"/>
      <c r="AF57" s="83"/>
      <c r="AG57" s="81"/>
      <c r="AH57" s="82"/>
      <c r="AI57" s="83"/>
      <c r="AJ57" s="83"/>
      <c r="AK57" s="81"/>
      <c r="AL57" s="82"/>
      <c r="AM57" s="83"/>
      <c r="AN57" s="83"/>
      <c r="AO57" s="81"/>
      <c r="AP57" s="82"/>
      <c r="AQ57" s="83"/>
      <c r="AR57" s="83"/>
      <c r="AS57" s="81"/>
      <c r="AT57" s="82"/>
      <c r="AU57" s="83"/>
      <c r="AV57" s="83"/>
      <c r="AW57" s="83"/>
      <c r="AX57" s="84"/>
      <c r="AY57" s="82"/>
      <c r="AZ57" s="83"/>
      <c r="BA57" s="83"/>
      <c r="BB57" s="83"/>
      <c r="BC57" s="8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40"/>
      <c r="CX57" s="140"/>
      <c r="CY57" s="140"/>
      <c r="CZ57" s="140"/>
      <c r="DA57" s="140"/>
      <c r="DB57" s="140"/>
      <c r="DC57" s="140"/>
      <c r="DD57" s="140"/>
      <c r="DE57" s="140"/>
      <c r="DF57" s="140"/>
      <c r="DG57" s="140"/>
      <c r="DH57" s="140"/>
      <c r="DI57" s="140"/>
      <c r="DJ57" s="140"/>
      <c r="DK57" s="140"/>
      <c r="DL57" s="140"/>
    </row>
    <row r="58" spans="1:116" ht="12.75" customHeight="1" x14ac:dyDescent="0.2">
      <c r="A58" s="56">
        <v>4170</v>
      </c>
      <c r="B58" s="127"/>
      <c r="C58" s="58" t="s">
        <v>73</v>
      </c>
      <c r="D58" s="58"/>
      <c r="E58" s="58"/>
      <c r="F58" s="58"/>
      <c r="G58" s="58"/>
      <c r="H58" s="59"/>
      <c r="I58" s="126"/>
      <c r="J58" s="135"/>
      <c r="K58" s="128"/>
      <c r="L58" s="63"/>
      <c r="M58" s="63">
        <f t="shared" si="11"/>
        <v>0</v>
      </c>
      <c r="N58" s="63">
        <f>L58+M58</f>
        <v>0</v>
      </c>
      <c r="O58" s="64">
        <f>N58/50500000</f>
        <v>0</v>
      </c>
      <c r="P58" s="129"/>
      <c r="Q58" s="130"/>
      <c r="R58" s="318"/>
      <c r="S58" s="319"/>
      <c r="T58" s="86"/>
      <c r="U58" s="87"/>
      <c r="V58" s="88"/>
      <c r="W58" s="88"/>
      <c r="X58" s="88"/>
      <c r="Y58" s="86"/>
      <c r="Z58" s="87"/>
      <c r="AA58" s="88"/>
      <c r="AB58" s="88"/>
      <c r="AC58" s="86"/>
      <c r="AD58" s="87"/>
      <c r="AE58" s="88"/>
      <c r="AF58" s="88"/>
      <c r="AG58" s="86">
        <f>O58</f>
        <v>0</v>
      </c>
      <c r="AH58" s="87"/>
      <c r="AI58" s="88"/>
      <c r="AJ58" s="88"/>
      <c r="AK58" s="86"/>
      <c r="AL58" s="87"/>
      <c r="AM58" s="88"/>
      <c r="AN58" s="88"/>
      <c r="AO58" s="86"/>
      <c r="AP58" s="87"/>
      <c r="AQ58" s="88"/>
      <c r="AR58" s="88"/>
      <c r="AS58" s="86"/>
      <c r="AT58" s="87"/>
      <c r="AU58" s="88"/>
      <c r="AV58" s="88"/>
      <c r="AW58" s="88"/>
      <c r="AX58" s="70"/>
      <c r="AY58" s="87"/>
      <c r="AZ58" s="88"/>
      <c r="BA58" s="88"/>
      <c r="BB58" s="88"/>
      <c r="BC58" s="86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34"/>
      <c r="CX58" s="134"/>
      <c r="CY58" s="134"/>
      <c r="CZ58" s="134"/>
      <c r="DA58" s="134"/>
      <c r="DB58" s="134"/>
      <c r="DC58" s="134"/>
      <c r="DD58" s="134"/>
      <c r="DE58" s="134"/>
      <c r="DF58" s="134"/>
      <c r="DG58" s="134"/>
      <c r="DH58" s="134"/>
      <c r="DI58" s="134"/>
      <c r="DJ58" s="134"/>
      <c r="DK58" s="134"/>
      <c r="DL58" s="134"/>
    </row>
    <row r="59" spans="1:116" ht="3.75" customHeight="1" x14ac:dyDescent="0.2">
      <c r="A59" s="141"/>
      <c r="B59" s="142"/>
      <c r="C59" s="143"/>
      <c r="D59" s="143"/>
      <c r="E59" s="143"/>
      <c r="F59" s="143"/>
      <c r="G59" s="143"/>
      <c r="H59" s="144"/>
      <c r="I59" s="145"/>
      <c r="J59" s="146"/>
      <c r="K59" s="147"/>
      <c r="L59" s="148"/>
      <c r="M59" s="63">
        <f t="shared" si="11"/>
        <v>0</v>
      </c>
      <c r="N59" s="63"/>
      <c r="O59" s="149"/>
      <c r="P59" s="150"/>
      <c r="Q59" s="151"/>
      <c r="R59" s="325"/>
      <c r="S59" s="326"/>
      <c r="T59" s="152"/>
      <c r="U59" s="153"/>
      <c r="V59" s="154"/>
      <c r="W59" s="154"/>
      <c r="X59" s="154"/>
      <c r="Y59" s="152"/>
      <c r="Z59" s="153"/>
      <c r="AA59" s="154"/>
      <c r="AB59" s="154"/>
      <c r="AC59" s="152"/>
      <c r="AD59" s="153"/>
      <c r="AE59" s="154"/>
      <c r="AF59" s="154"/>
      <c r="AG59" s="152"/>
      <c r="AH59" s="153"/>
      <c r="AI59" s="154"/>
      <c r="AJ59" s="154"/>
      <c r="AK59" s="152"/>
      <c r="AL59" s="153"/>
      <c r="AM59" s="154"/>
      <c r="AN59" s="154"/>
      <c r="AO59" s="152"/>
      <c r="AP59" s="153"/>
      <c r="AQ59" s="154"/>
      <c r="AR59" s="154"/>
      <c r="AS59" s="152"/>
      <c r="AT59" s="153"/>
      <c r="AU59" s="154"/>
      <c r="AV59" s="154"/>
      <c r="AW59" s="154"/>
      <c r="AX59" s="155"/>
      <c r="AY59" s="153"/>
      <c r="AZ59" s="154"/>
      <c r="BA59" s="154"/>
      <c r="BB59" s="154"/>
      <c r="BC59" s="152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56"/>
      <c r="CX59" s="156"/>
      <c r="CY59" s="156"/>
      <c r="CZ59" s="156"/>
      <c r="DA59" s="156"/>
      <c r="DB59" s="156"/>
      <c r="DC59" s="156"/>
      <c r="DD59" s="156"/>
      <c r="DE59" s="156"/>
      <c r="DF59" s="156"/>
      <c r="DG59" s="156"/>
      <c r="DH59" s="156"/>
      <c r="DI59" s="156"/>
      <c r="DJ59" s="156"/>
      <c r="DK59" s="156"/>
      <c r="DL59" s="156"/>
    </row>
    <row r="60" spans="1:116" ht="12.75" hidden="1" customHeight="1" x14ac:dyDescent="0.2">
      <c r="A60" s="141">
        <v>4080</v>
      </c>
      <c r="B60" s="142"/>
      <c r="C60" s="143"/>
      <c r="D60" s="143"/>
      <c r="E60" s="143"/>
      <c r="F60" s="143"/>
      <c r="G60" s="143"/>
      <c r="H60" s="144"/>
      <c r="I60" s="145"/>
      <c r="J60" s="146"/>
      <c r="K60" s="147"/>
      <c r="L60" s="148"/>
      <c r="M60" s="63">
        <f t="shared" si="11"/>
        <v>0</v>
      </c>
      <c r="N60" s="63">
        <f t="shared" ref="N60:N80" si="17">L60+M60</f>
        <v>0</v>
      </c>
      <c r="O60" s="149"/>
      <c r="P60" s="150"/>
      <c r="Q60" s="151"/>
      <c r="R60" s="325"/>
      <c r="S60" s="326"/>
      <c r="T60" s="152"/>
      <c r="U60" s="153"/>
      <c r="V60" s="154"/>
      <c r="W60" s="154"/>
      <c r="X60" s="154"/>
      <c r="Y60" s="152"/>
      <c r="Z60" s="153"/>
      <c r="AA60" s="154"/>
      <c r="AB60" s="154"/>
      <c r="AC60" s="152"/>
      <c r="AD60" s="153"/>
      <c r="AE60" s="154"/>
      <c r="AF60" s="154"/>
      <c r="AG60" s="152"/>
      <c r="AH60" s="153"/>
      <c r="AI60" s="154"/>
      <c r="AJ60" s="154"/>
      <c r="AK60" s="152"/>
      <c r="AL60" s="153"/>
      <c r="AM60" s="154"/>
      <c r="AN60" s="154"/>
      <c r="AO60" s="152"/>
      <c r="AP60" s="153"/>
      <c r="AQ60" s="154"/>
      <c r="AR60" s="154"/>
      <c r="AS60" s="152"/>
      <c r="AT60" s="153"/>
      <c r="AU60" s="154"/>
      <c r="AV60" s="154"/>
      <c r="AW60" s="154"/>
      <c r="AX60" s="155"/>
      <c r="AY60" s="153"/>
      <c r="AZ60" s="154"/>
      <c r="BA60" s="154"/>
      <c r="BB60" s="154"/>
      <c r="BC60" s="152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57"/>
      <c r="CX60" s="157"/>
      <c r="CY60" s="157"/>
      <c r="CZ60" s="157"/>
      <c r="DA60" s="157"/>
      <c r="DB60" s="157"/>
      <c r="DC60" s="157"/>
      <c r="DD60" s="157"/>
      <c r="DE60" s="157"/>
      <c r="DF60" s="157"/>
      <c r="DG60" s="157"/>
      <c r="DH60" s="157"/>
      <c r="DI60" s="157"/>
      <c r="DJ60" s="157"/>
      <c r="DK60" s="157"/>
      <c r="DL60" s="157"/>
    </row>
    <row r="61" spans="1:116" ht="3.75" hidden="1" customHeight="1" x14ac:dyDescent="0.2">
      <c r="A61" s="141"/>
      <c r="B61" s="142"/>
      <c r="C61" s="143"/>
      <c r="D61" s="143"/>
      <c r="E61" s="143"/>
      <c r="F61" s="143"/>
      <c r="G61" s="143"/>
      <c r="H61" s="144"/>
      <c r="I61" s="145"/>
      <c r="J61" s="146"/>
      <c r="K61" s="147"/>
      <c r="L61" s="148"/>
      <c r="M61" s="63">
        <f t="shared" si="11"/>
        <v>0</v>
      </c>
      <c r="N61" s="63">
        <f t="shared" si="17"/>
        <v>0</v>
      </c>
      <c r="O61" s="149"/>
      <c r="P61" s="150"/>
      <c r="Q61" s="151"/>
      <c r="R61" s="325"/>
      <c r="S61" s="326"/>
      <c r="T61" s="152"/>
      <c r="U61" s="153"/>
      <c r="V61" s="154"/>
      <c r="W61" s="154"/>
      <c r="X61" s="154"/>
      <c r="Y61" s="152"/>
      <c r="Z61" s="153"/>
      <c r="AA61" s="154"/>
      <c r="AB61" s="154"/>
      <c r="AC61" s="152"/>
      <c r="AD61" s="153"/>
      <c r="AE61" s="154"/>
      <c r="AF61" s="154"/>
      <c r="AG61" s="152"/>
      <c r="AH61" s="153"/>
      <c r="AI61" s="154"/>
      <c r="AJ61" s="154"/>
      <c r="AK61" s="152"/>
      <c r="AL61" s="153"/>
      <c r="AM61" s="154"/>
      <c r="AN61" s="154"/>
      <c r="AO61" s="152"/>
      <c r="AP61" s="153"/>
      <c r="AQ61" s="154"/>
      <c r="AR61" s="154"/>
      <c r="AS61" s="152"/>
      <c r="AT61" s="153"/>
      <c r="AU61" s="154"/>
      <c r="AV61" s="154"/>
      <c r="AW61" s="154"/>
      <c r="AX61" s="155"/>
      <c r="AY61" s="153"/>
      <c r="AZ61" s="154"/>
      <c r="BA61" s="154"/>
      <c r="BB61" s="154"/>
      <c r="BC61" s="152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57"/>
      <c r="CX61" s="157"/>
      <c r="CY61" s="157"/>
      <c r="CZ61" s="157"/>
      <c r="DA61" s="157"/>
      <c r="DB61" s="157"/>
      <c r="DC61" s="157"/>
      <c r="DD61" s="157"/>
      <c r="DE61" s="157"/>
      <c r="DF61" s="157"/>
      <c r="DG61" s="157"/>
      <c r="DH61" s="157"/>
      <c r="DI61" s="157"/>
      <c r="DJ61" s="157"/>
      <c r="DK61" s="157"/>
      <c r="DL61" s="157"/>
    </row>
    <row r="62" spans="1:116" ht="12.75" hidden="1" customHeight="1" x14ac:dyDescent="0.2">
      <c r="A62" s="141">
        <v>3405</v>
      </c>
      <c r="B62" s="142"/>
      <c r="C62" s="58"/>
      <c r="D62" s="143"/>
      <c r="E62" s="143"/>
      <c r="F62" s="143"/>
      <c r="G62" s="143"/>
      <c r="H62" s="144"/>
      <c r="I62" s="145"/>
      <c r="J62" s="146"/>
      <c r="K62" s="147"/>
      <c r="L62" s="148"/>
      <c r="M62" s="63">
        <f t="shared" si="11"/>
        <v>0</v>
      </c>
      <c r="N62" s="63">
        <f t="shared" si="17"/>
        <v>0</v>
      </c>
      <c r="O62" s="149"/>
      <c r="P62" s="150"/>
      <c r="Q62" s="151"/>
      <c r="R62" s="325"/>
      <c r="S62" s="326"/>
      <c r="T62" s="152"/>
      <c r="U62" s="153"/>
      <c r="V62" s="154"/>
      <c r="W62" s="154"/>
      <c r="X62" s="154"/>
      <c r="Y62" s="152"/>
      <c r="Z62" s="153"/>
      <c r="AA62" s="154"/>
      <c r="AB62" s="154"/>
      <c r="AC62" s="152"/>
      <c r="AD62" s="153"/>
      <c r="AE62" s="154"/>
      <c r="AF62" s="154"/>
      <c r="AG62" s="152"/>
      <c r="AH62" s="153"/>
      <c r="AI62" s="154"/>
      <c r="AJ62" s="154"/>
      <c r="AK62" s="152"/>
      <c r="AL62" s="153"/>
      <c r="AM62" s="154"/>
      <c r="AN62" s="154"/>
      <c r="AO62" s="152"/>
      <c r="AP62" s="153"/>
      <c r="AQ62" s="154"/>
      <c r="AR62" s="154"/>
      <c r="AS62" s="152"/>
      <c r="AT62" s="153"/>
      <c r="AU62" s="154"/>
      <c r="AV62" s="154"/>
      <c r="AW62" s="154"/>
      <c r="AX62" s="155"/>
      <c r="AY62" s="153"/>
      <c r="AZ62" s="154"/>
      <c r="BA62" s="154"/>
      <c r="BB62" s="154"/>
      <c r="BC62" s="152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57"/>
      <c r="CX62" s="157"/>
      <c r="CY62" s="157"/>
      <c r="CZ62" s="157"/>
      <c r="DA62" s="157"/>
      <c r="DB62" s="157"/>
      <c r="DC62" s="157"/>
      <c r="DD62" s="157"/>
      <c r="DE62" s="157"/>
      <c r="DF62" s="157"/>
      <c r="DG62" s="157"/>
      <c r="DH62" s="157"/>
      <c r="DI62" s="157"/>
      <c r="DJ62" s="157"/>
      <c r="DK62" s="157"/>
      <c r="DL62" s="157"/>
    </row>
    <row r="63" spans="1:116" ht="3.75" hidden="1" customHeight="1" x14ac:dyDescent="0.2">
      <c r="A63" s="141"/>
      <c r="B63" s="142"/>
      <c r="C63" s="143"/>
      <c r="D63" s="143"/>
      <c r="E63" s="143"/>
      <c r="F63" s="143"/>
      <c r="G63" s="143"/>
      <c r="H63" s="144"/>
      <c r="I63" s="145"/>
      <c r="J63" s="146"/>
      <c r="K63" s="147"/>
      <c r="L63" s="148"/>
      <c r="M63" s="63">
        <f t="shared" si="11"/>
        <v>0</v>
      </c>
      <c r="N63" s="63">
        <f t="shared" si="17"/>
        <v>0</v>
      </c>
      <c r="O63" s="149"/>
      <c r="P63" s="150"/>
      <c r="Q63" s="151"/>
      <c r="R63" s="325"/>
      <c r="S63" s="326"/>
      <c r="T63" s="152"/>
      <c r="U63" s="153"/>
      <c r="V63" s="154"/>
      <c r="W63" s="154"/>
      <c r="X63" s="154"/>
      <c r="Y63" s="152"/>
      <c r="Z63" s="153"/>
      <c r="AA63" s="154"/>
      <c r="AB63" s="154"/>
      <c r="AC63" s="152"/>
      <c r="AD63" s="153"/>
      <c r="AE63" s="154"/>
      <c r="AF63" s="154"/>
      <c r="AG63" s="152"/>
      <c r="AH63" s="153"/>
      <c r="AI63" s="154"/>
      <c r="AJ63" s="154"/>
      <c r="AK63" s="152"/>
      <c r="AL63" s="153"/>
      <c r="AM63" s="154"/>
      <c r="AN63" s="154"/>
      <c r="AO63" s="152"/>
      <c r="AP63" s="153"/>
      <c r="AQ63" s="154"/>
      <c r="AR63" s="154"/>
      <c r="AS63" s="152"/>
      <c r="AT63" s="153"/>
      <c r="AU63" s="154"/>
      <c r="AV63" s="154"/>
      <c r="AW63" s="154"/>
      <c r="AX63" s="155"/>
      <c r="AY63" s="153"/>
      <c r="AZ63" s="154"/>
      <c r="BA63" s="154"/>
      <c r="BB63" s="154"/>
      <c r="BC63" s="152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57"/>
      <c r="CX63" s="157"/>
      <c r="CY63" s="157"/>
      <c r="CZ63" s="157"/>
      <c r="DA63" s="157"/>
      <c r="DB63" s="157"/>
      <c r="DC63" s="157"/>
      <c r="DD63" s="157"/>
      <c r="DE63" s="157"/>
      <c r="DF63" s="157"/>
      <c r="DG63" s="157"/>
      <c r="DH63" s="157"/>
      <c r="DI63" s="157"/>
      <c r="DJ63" s="157"/>
      <c r="DK63" s="157"/>
      <c r="DL63" s="157"/>
    </row>
    <row r="64" spans="1:116" ht="12.75" hidden="1" customHeight="1" x14ac:dyDescent="0.2">
      <c r="A64" s="141">
        <v>3406</v>
      </c>
      <c r="B64" s="142"/>
      <c r="C64" s="143"/>
      <c r="D64" s="143"/>
      <c r="E64" s="143"/>
      <c r="F64" s="143"/>
      <c r="G64" s="143"/>
      <c r="H64" s="144"/>
      <c r="I64" s="145"/>
      <c r="J64" s="146"/>
      <c r="K64" s="147"/>
      <c r="L64" s="148"/>
      <c r="M64" s="63">
        <f t="shared" si="11"/>
        <v>0</v>
      </c>
      <c r="N64" s="63">
        <f t="shared" si="17"/>
        <v>0</v>
      </c>
      <c r="O64" s="149"/>
      <c r="P64" s="150"/>
      <c r="Q64" s="151"/>
      <c r="R64" s="325"/>
      <c r="S64" s="326"/>
      <c r="T64" s="152"/>
      <c r="U64" s="153"/>
      <c r="V64" s="154"/>
      <c r="W64" s="154"/>
      <c r="X64" s="154"/>
      <c r="Y64" s="152"/>
      <c r="Z64" s="153"/>
      <c r="AA64" s="154"/>
      <c r="AB64" s="154"/>
      <c r="AC64" s="152"/>
      <c r="AD64" s="153"/>
      <c r="AE64" s="154"/>
      <c r="AF64" s="154"/>
      <c r="AG64" s="152"/>
      <c r="AH64" s="153"/>
      <c r="AI64" s="154"/>
      <c r="AJ64" s="154"/>
      <c r="AK64" s="152"/>
      <c r="AL64" s="153"/>
      <c r="AM64" s="154"/>
      <c r="AN64" s="154"/>
      <c r="AO64" s="152"/>
      <c r="AP64" s="153"/>
      <c r="AQ64" s="154"/>
      <c r="AR64" s="154"/>
      <c r="AS64" s="152"/>
      <c r="AT64" s="153"/>
      <c r="AU64" s="154"/>
      <c r="AV64" s="154"/>
      <c r="AW64" s="154"/>
      <c r="AX64" s="155"/>
      <c r="AY64" s="153"/>
      <c r="AZ64" s="154"/>
      <c r="BA64" s="154"/>
      <c r="BB64" s="154"/>
      <c r="BC64" s="152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57"/>
      <c r="CX64" s="157"/>
      <c r="CY64" s="157"/>
      <c r="CZ64" s="157"/>
      <c r="DA64" s="157"/>
      <c r="DB64" s="157"/>
      <c r="DC64" s="157"/>
      <c r="DD64" s="157"/>
      <c r="DE64" s="157"/>
      <c r="DF64" s="157"/>
      <c r="DG64" s="157"/>
      <c r="DH64" s="157"/>
      <c r="DI64" s="157"/>
      <c r="DJ64" s="157"/>
      <c r="DK64" s="157"/>
      <c r="DL64" s="157"/>
    </row>
    <row r="65" spans="1:116" ht="3.75" hidden="1" customHeight="1" x14ac:dyDescent="0.2">
      <c r="A65" s="141"/>
      <c r="B65" s="142"/>
      <c r="C65" s="143"/>
      <c r="D65" s="143"/>
      <c r="E65" s="143"/>
      <c r="F65" s="143"/>
      <c r="G65" s="143"/>
      <c r="H65" s="144"/>
      <c r="I65" s="145"/>
      <c r="J65" s="146"/>
      <c r="K65" s="147"/>
      <c r="L65" s="148"/>
      <c r="M65" s="63">
        <f t="shared" si="11"/>
        <v>0</v>
      </c>
      <c r="N65" s="63">
        <f t="shared" si="17"/>
        <v>0</v>
      </c>
      <c r="O65" s="149"/>
      <c r="P65" s="150"/>
      <c r="Q65" s="151"/>
      <c r="R65" s="325"/>
      <c r="S65" s="326"/>
      <c r="T65" s="152"/>
      <c r="U65" s="153"/>
      <c r="V65" s="154"/>
      <c r="W65" s="154"/>
      <c r="X65" s="154"/>
      <c r="Y65" s="152"/>
      <c r="Z65" s="153"/>
      <c r="AA65" s="154"/>
      <c r="AB65" s="154"/>
      <c r="AC65" s="152"/>
      <c r="AD65" s="153"/>
      <c r="AE65" s="154"/>
      <c r="AF65" s="154"/>
      <c r="AG65" s="152"/>
      <c r="AH65" s="153"/>
      <c r="AI65" s="154"/>
      <c r="AJ65" s="154"/>
      <c r="AK65" s="152"/>
      <c r="AL65" s="153"/>
      <c r="AM65" s="154"/>
      <c r="AN65" s="154"/>
      <c r="AO65" s="152"/>
      <c r="AP65" s="153"/>
      <c r="AQ65" s="154"/>
      <c r="AR65" s="154"/>
      <c r="AS65" s="152"/>
      <c r="AT65" s="153"/>
      <c r="AU65" s="154"/>
      <c r="AV65" s="154"/>
      <c r="AW65" s="154"/>
      <c r="AX65" s="155"/>
      <c r="AY65" s="153"/>
      <c r="AZ65" s="154"/>
      <c r="BA65" s="154"/>
      <c r="BB65" s="154"/>
      <c r="BC65" s="152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57"/>
      <c r="CX65" s="157"/>
      <c r="CY65" s="157"/>
      <c r="CZ65" s="157"/>
      <c r="DA65" s="157"/>
      <c r="DB65" s="157"/>
      <c r="DC65" s="157"/>
      <c r="DD65" s="157"/>
      <c r="DE65" s="157"/>
      <c r="DF65" s="157"/>
      <c r="DG65" s="157"/>
      <c r="DH65" s="157"/>
      <c r="DI65" s="157"/>
      <c r="DJ65" s="157"/>
      <c r="DK65" s="157"/>
      <c r="DL65" s="157"/>
    </row>
    <row r="66" spans="1:116" ht="12.75" hidden="1" customHeight="1" x14ac:dyDescent="0.2">
      <c r="A66" s="141">
        <v>3407</v>
      </c>
      <c r="B66" s="142"/>
      <c r="C66" s="143"/>
      <c r="D66" s="143"/>
      <c r="E66" s="143"/>
      <c r="F66" s="143"/>
      <c r="G66" s="143"/>
      <c r="H66" s="144"/>
      <c r="I66" s="145"/>
      <c r="J66" s="146"/>
      <c r="K66" s="147"/>
      <c r="L66" s="148"/>
      <c r="M66" s="63">
        <f t="shared" si="11"/>
        <v>0</v>
      </c>
      <c r="N66" s="63">
        <f t="shared" si="17"/>
        <v>0</v>
      </c>
      <c r="O66" s="149"/>
      <c r="P66" s="150"/>
      <c r="Q66" s="151"/>
      <c r="R66" s="325"/>
      <c r="S66" s="326"/>
      <c r="T66" s="152"/>
      <c r="U66" s="153"/>
      <c r="V66" s="154"/>
      <c r="W66" s="154"/>
      <c r="X66" s="154"/>
      <c r="Y66" s="152"/>
      <c r="Z66" s="153"/>
      <c r="AA66" s="154"/>
      <c r="AB66" s="154"/>
      <c r="AC66" s="152"/>
      <c r="AD66" s="153"/>
      <c r="AE66" s="154"/>
      <c r="AF66" s="154"/>
      <c r="AG66" s="152"/>
      <c r="AH66" s="153"/>
      <c r="AI66" s="154"/>
      <c r="AJ66" s="154"/>
      <c r="AK66" s="152"/>
      <c r="AL66" s="153"/>
      <c r="AM66" s="154"/>
      <c r="AN66" s="154"/>
      <c r="AO66" s="152"/>
      <c r="AP66" s="153"/>
      <c r="AQ66" s="154"/>
      <c r="AR66" s="154"/>
      <c r="AS66" s="152"/>
      <c r="AT66" s="153"/>
      <c r="AU66" s="154"/>
      <c r="AV66" s="154"/>
      <c r="AW66" s="154"/>
      <c r="AX66" s="155"/>
      <c r="AY66" s="153"/>
      <c r="AZ66" s="154"/>
      <c r="BA66" s="154"/>
      <c r="BB66" s="154"/>
      <c r="BC66" s="152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57"/>
      <c r="CX66" s="157"/>
      <c r="CY66" s="157"/>
      <c r="CZ66" s="157"/>
      <c r="DA66" s="157"/>
      <c r="DB66" s="157"/>
      <c r="DC66" s="157"/>
      <c r="DD66" s="157"/>
      <c r="DE66" s="157"/>
      <c r="DF66" s="157"/>
      <c r="DG66" s="157"/>
      <c r="DH66" s="157"/>
      <c r="DI66" s="157"/>
      <c r="DJ66" s="157"/>
      <c r="DK66" s="157"/>
      <c r="DL66" s="157"/>
    </row>
    <row r="67" spans="1:116" ht="3.75" hidden="1" customHeight="1" x14ac:dyDescent="0.2">
      <c r="A67" s="141"/>
      <c r="B67" s="142"/>
      <c r="C67" s="143"/>
      <c r="D67" s="143"/>
      <c r="E67" s="143"/>
      <c r="F67" s="143"/>
      <c r="G67" s="143"/>
      <c r="H67" s="144"/>
      <c r="I67" s="145"/>
      <c r="J67" s="146"/>
      <c r="K67" s="147"/>
      <c r="L67" s="148"/>
      <c r="M67" s="63">
        <f t="shared" si="11"/>
        <v>0</v>
      </c>
      <c r="N67" s="63">
        <f t="shared" si="17"/>
        <v>0</v>
      </c>
      <c r="O67" s="149"/>
      <c r="P67" s="150"/>
      <c r="Q67" s="151"/>
      <c r="R67" s="325"/>
      <c r="S67" s="326"/>
      <c r="T67" s="152"/>
      <c r="U67" s="153"/>
      <c r="V67" s="154"/>
      <c r="W67" s="154"/>
      <c r="X67" s="154"/>
      <c r="Y67" s="152"/>
      <c r="Z67" s="153"/>
      <c r="AA67" s="154"/>
      <c r="AB67" s="154"/>
      <c r="AC67" s="152"/>
      <c r="AD67" s="153"/>
      <c r="AE67" s="154"/>
      <c r="AF67" s="154"/>
      <c r="AG67" s="152"/>
      <c r="AH67" s="153"/>
      <c r="AI67" s="154"/>
      <c r="AJ67" s="154"/>
      <c r="AK67" s="152"/>
      <c r="AL67" s="153"/>
      <c r="AM67" s="154"/>
      <c r="AN67" s="154"/>
      <c r="AO67" s="152"/>
      <c r="AP67" s="153"/>
      <c r="AQ67" s="154"/>
      <c r="AR67" s="154"/>
      <c r="AS67" s="152"/>
      <c r="AT67" s="153"/>
      <c r="AU67" s="154"/>
      <c r="AV67" s="154"/>
      <c r="AW67" s="154"/>
      <c r="AX67" s="155"/>
      <c r="AY67" s="153"/>
      <c r="AZ67" s="154"/>
      <c r="BA67" s="154"/>
      <c r="BB67" s="154"/>
      <c r="BC67" s="152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56"/>
      <c r="CX67" s="156"/>
      <c r="CY67" s="156"/>
      <c r="CZ67" s="156"/>
      <c r="DA67" s="156"/>
      <c r="DB67" s="156"/>
      <c r="DC67" s="156"/>
      <c r="DD67" s="156"/>
      <c r="DE67" s="156"/>
      <c r="DF67" s="156"/>
      <c r="DG67" s="156"/>
      <c r="DH67" s="156"/>
      <c r="DI67" s="156"/>
      <c r="DJ67" s="156"/>
      <c r="DK67" s="156"/>
      <c r="DL67" s="156"/>
    </row>
    <row r="68" spans="1:116" ht="12.75" hidden="1" customHeight="1" x14ac:dyDescent="0.2">
      <c r="A68" s="141">
        <v>3408</v>
      </c>
      <c r="B68" s="127"/>
      <c r="C68" s="58"/>
      <c r="D68" s="143"/>
      <c r="E68" s="58"/>
      <c r="F68" s="58"/>
      <c r="G68" s="58"/>
      <c r="H68" s="59"/>
      <c r="I68" s="126"/>
      <c r="J68" s="135"/>
      <c r="K68" s="128"/>
      <c r="L68" s="148"/>
      <c r="M68" s="63">
        <f t="shared" si="11"/>
        <v>0</v>
      </c>
      <c r="N68" s="63">
        <f t="shared" si="17"/>
        <v>0</v>
      </c>
      <c r="O68" s="149"/>
      <c r="P68" s="150"/>
      <c r="Q68" s="151"/>
      <c r="R68" s="325"/>
      <c r="S68" s="326"/>
      <c r="T68" s="152"/>
      <c r="U68" s="153"/>
      <c r="V68" s="154"/>
      <c r="W68" s="154"/>
      <c r="X68" s="154"/>
      <c r="Y68" s="152"/>
      <c r="Z68" s="153"/>
      <c r="AA68" s="154"/>
      <c r="AB68" s="154"/>
      <c r="AC68" s="152"/>
      <c r="AD68" s="153"/>
      <c r="AE68" s="154"/>
      <c r="AF68" s="154"/>
      <c r="AG68" s="152"/>
      <c r="AH68" s="153"/>
      <c r="AI68" s="154"/>
      <c r="AJ68" s="154"/>
      <c r="AK68" s="152"/>
      <c r="AL68" s="153"/>
      <c r="AM68" s="154"/>
      <c r="AN68" s="154"/>
      <c r="AO68" s="152"/>
      <c r="AP68" s="153"/>
      <c r="AQ68" s="154"/>
      <c r="AR68" s="154"/>
      <c r="AS68" s="152"/>
      <c r="AT68" s="153"/>
      <c r="AU68" s="154"/>
      <c r="AV68" s="154"/>
      <c r="AW68" s="154"/>
      <c r="AX68" s="155"/>
      <c r="AY68" s="153"/>
      <c r="AZ68" s="154"/>
      <c r="BA68" s="154"/>
      <c r="BB68" s="154"/>
      <c r="BC68" s="152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</row>
    <row r="69" spans="1:116" ht="3.75" hidden="1" customHeight="1" x14ac:dyDescent="0.2">
      <c r="A69" s="141"/>
      <c r="B69" s="127"/>
      <c r="C69" s="58"/>
      <c r="D69" s="58"/>
      <c r="E69" s="58"/>
      <c r="F69" s="58"/>
      <c r="G69" s="58"/>
      <c r="H69" s="59"/>
      <c r="I69" s="126"/>
      <c r="J69" s="135"/>
      <c r="K69" s="128"/>
      <c r="L69" s="148"/>
      <c r="M69" s="63">
        <f t="shared" si="11"/>
        <v>0</v>
      </c>
      <c r="N69" s="63">
        <f t="shared" si="17"/>
        <v>0</v>
      </c>
      <c r="O69" s="149"/>
      <c r="P69" s="150"/>
      <c r="Q69" s="151"/>
      <c r="R69" s="325"/>
      <c r="S69" s="326"/>
      <c r="T69" s="152"/>
      <c r="U69" s="153"/>
      <c r="V69" s="154"/>
      <c r="W69" s="154"/>
      <c r="X69" s="154"/>
      <c r="Y69" s="152"/>
      <c r="Z69" s="153"/>
      <c r="AA69" s="154"/>
      <c r="AB69" s="154"/>
      <c r="AC69" s="152"/>
      <c r="AD69" s="153"/>
      <c r="AE69" s="154"/>
      <c r="AF69" s="154"/>
      <c r="AG69" s="152"/>
      <c r="AH69" s="153"/>
      <c r="AI69" s="154"/>
      <c r="AJ69" s="154"/>
      <c r="AK69" s="152"/>
      <c r="AL69" s="153"/>
      <c r="AM69" s="154"/>
      <c r="AN69" s="154"/>
      <c r="AO69" s="152"/>
      <c r="AP69" s="153"/>
      <c r="AQ69" s="154"/>
      <c r="AR69" s="154"/>
      <c r="AS69" s="152"/>
      <c r="AT69" s="153"/>
      <c r="AU69" s="154"/>
      <c r="AV69" s="154"/>
      <c r="AW69" s="154"/>
      <c r="AX69" s="155"/>
      <c r="AY69" s="153"/>
      <c r="AZ69" s="154"/>
      <c r="BA69" s="154"/>
      <c r="BB69" s="154"/>
      <c r="BC69" s="152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</row>
    <row r="70" spans="1:116" ht="12.75" hidden="1" customHeight="1" x14ac:dyDescent="0.2">
      <c r="A70" s="141">
        <v>3409</v>
      </c>
      <c r="B70" s="127"/>
      <c r="C70" s="58"/>
      <c r="D70" s="143"/>
      <c r="E70" s="58"/>
      <c r="F70" s="58"/>
      <c r="G70" s="58"/>
      <c r="H70" s="59"/>
      <c r="I70" s="126"/>
      <c r="J70" s="135"/>
      <c r="K70" s="128"/>
      <c r="L70" s="148"/>
      <c r="M70" s="63">
        <f t="shared" si="11"/>
        <v>0</v>
      </c>
      <c r="N70" s="63">
        <f t="shared" si="17"/>
        <v>0</v>
      </c>
      <c r="O70" s="149"/>
      <c r="P70" s="150"/>
      <c r="Q70" s="151"/>
      <c r="R70" s="325"/>
      <c r="S70" s="326"/>
      <c r="T70" s="152"/>
      <c r="U70" s="153"/>
      <c r="V70" s="154"/>
      <c r="W70" s="154"/>
      <c r="X70" s="154"/>
      <c r="Y70" s="152"/>
      <c r="Z70" s="153"/>
      <c r="AA70" s="154"/>
      <c r="AB70" s="154"/>
      <c r="AC70" s="152"/>
      <c r="AD70" s="153"/>
      <c r="AE70" s="154"/>
      <c r="AF70" s="154"/>
      <c r="AG70" s="152"/>
      <c r="AH70" s="153"/>
      <c r="AI70" s="154"/>
      <c r="AJ70" s="154"/>
      <c r="AK70" s="152"/>
      <c r="AL70" s="153"/>
      <c r="AM70" s="154"/>
      <c r="AN70" s="154"/>
      <c r="AO70" s="152"/>
      <c r="AP70" s="153"/>
      <c r="AQ70" s="154"/>
      <c r="AR70" s="154"/>
      <c r="AS70" s="152"/>
      <c r="AT70" s="153"/>
      <c r="AU70" s="154"/>
      <c r="AV70" s="154"/>
      <c r="AW70" s="154"/>
      <c r="AX70" s="155"/>
      <c r="AY70" s="153"/>
      <c r="AZ70" s="154"/>
      <c r="BA70" s="154"/>
      <c r="BB70" s="154"/>
      <c r="BC70" s="152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</row>
    <row r="71" spans="1:116" ht="3.75" hidden="1" customHeight="1" x14ac:dyDescent="0.2">
      <c r="A71" s="141"/>
      <c r="B71" s="127"/>
      <c r="C71" s="58"/>
      <c r="D71" s="143"/>
      <c r="E71" s="58"/>
      <c r="F71" s="58"/>
      <c r="G71" s="58"/>
      <c r="H71" s="59"/>
      <c r="I71" s="126"/>
      <c r="J71" s="135"/>
      <c r="K71" s="128"/>
      <c r="L71" s="148"/>
      <c r="M71" s="63">
        <f t="shared" si="11"/>
        <v>0</v>
      </c>
      <c r="N71" s="63">
        <f t="shared" si="17"/>
        <v>0</v>
      </c>
      <c r="O71" s="149"/>
      <c r="P71" s="150"/>
      <c r="Q71" s="151"/>
      <c r="R71" s="325"/>
      <c r="S71" s="326"/>
      <c r="T71" s="152"/>
      <c r="U71" s="153"/>
      <c r="V71" s="154"/>
      <c r="W71" s="154"/>
      <c r="X71" s="154"/>
      <c r="Y71" s="152"/>
      <c r="Z71" s="153"/>
      <c r="AA71" s="154"/>
      <c r="AB71" s="154"/>
      <c r="AC71" s="152"/>
      <c r="AD71" s="153"/>
      <c r="AE71" s="154"/>
      <c r="AF71" s="154"/>
      <c r="AG71" s="152"/>
      <c r="AH71" s="153"/>
      <c r="AI71" s="154"/>
      <c r="AJ71" s="154"/>
      <c r="AK71" s="152"/>
      <c r="AL71" s="153"/>
      <c r="AM71" s="154"/>
      <c r="AN71" s="154"/>
      <c r="AO71" s="152"/>
      <c r="AP71" s="153"/>
      <c r="AQ71" s="154"/>
      <c r="AR71" s="154"/>
      <c r="AS71" s="152"/>
      <c r="AT71" s="153"/>
      <c r="AU71" s="154"/>
      <c r="AV71" s="154"/>
      <c r="AW71" s="154"/>
      <c r="AX71" s="155"/>
      <c r="AY71" s="153"/>
      <c r="AZ71" s="154"/>
      <c r="BA71" s="154"/>
      <c r="BB71" s="154"/>
      <c r="BC71" s="152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</row>
    <row r="72" spans="1:116" ht="12.75" hidden="1" customHeight="1" x14ac:dyDescent="0.2">
      <c r="A72" s="141">
        <v>3410</v>
      </c>
      <c r="B72" s="127"/>
      <c r="C72" s="58"/>
      <c r="D72" s="143"/>
      <c r="E72" s="58"/>
      <c r="F72" s="58"/>
      <c r="G72" s="58"/>
      <c r="H72" s="59"/>
      <c r="I72" s="126"/>
      <c r="J72" s="135"/>
      <c r="K72" s="128"/>
      <c r="L72" s="148"/>
      <c r="M72" s="63">
        <f t="shared" si="11"/>
        <v>0</v>
      </c>
      <c r="N72" s="63">
        <f t="shared" si="17"/>
        <v>0</v>
      </c>
      <c r="O72" s="149"/>
      <c r="P72" s="150"/>
      <c r="Q72" s="151"/>
      <c r="R72" s="325"/>
      <c r="S72" s="326"/>
      <c r="T72" s="152"/>
      <c r="U72" s="153"/>
      <c r="V72" s="154"/>
      <c r="W72" s="154"/>
      <c r="X72" s="154"/>
      <c r="Y72" s="152"/>
      <c r="Z72" s="153"/>
      <c r="AA72" s="154"/>
      <c r="AB72" s="154"/>
      <c r="AC72" s="152"/>
      <c r="AD72" s="153"/>
      <c r="AE72" s="154"/>
      <c r="AF72" s="154"/>
      <c r="AG72" s="152"/>
      <c r="AH72" s="153"/>
      <c r="AI72" s="154"/>
      <c r="AJ72" s="154"/>
      <c r="AK72" s="152"/>
      <c r="AL72" s="153"/>
      <c r="AM72" s="154"/>
      <c r="AN72" s="154"/>
      <c r="AO72" s="152"/>
      <c r="AP72" s="153"/>
      <c r="AQ72" s="154"/>
      <c r="AR72" s="154"/>
      <c r="AS72" s="152"/>
      <c r="AT72" s="153"/>
      <c r="AU72" s="154"/>
      <c r="AV72" s="154"/>
      <c r="AW72" s="154"/>
      <c r="AX72" s="155"/>
      <c r="AY72" s="153"/>
      <c r="AZ72" s="154"/>
      <c r="BA72" s="154"/>
      <c r="BB72" s="154"/>
      <c r="BC72" s="152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</row>
    <row r="73" spans="1:116" ht="3.75" hidden="1" customHeight="1" x14ac:dyDescent="0.2">
      <c r="A73" s="141"/>
      <c r="B73" s="127"/>
      <c r="C73" s="58"/>
      <c r="D73" s="143"/>
      <c r="E73" s="58"/>
      <c r="F73" s="58"/>
      <c r="G73" s="58"/>
      <c r="H73" s="59"/>
      <c r="I73" s="126"/>
      <c r="J73" s="135"/>
      <c r="K73" s="128"/>
      <c r="L73" s="148"/>
      <c r="M73" s="63">
        <f t="shared" si="11"/>
        <v>0</v>
      </c>
      <c r="N73" s="63">
        <f t="shared" si="17"/>
        <v>0</v>
      </c>
      <c r="O73" s="149"/>
      <c r="P73" s="150"/>
      <c r="Q73" s="151"/>
      <c r="R73" s="325"/>
      <c r="S73" s="326"/>
      <c r="T73" s="152"/>
      <c r="U73" s="153"/>
      <c r="V73" s="154"/>
      <c r="W73" s="154"/>
      <c r="X73" s="154"/>
      <c r="Y73" s="152"/>
      <c r="Z73" s="153"/>
      <c r="AA73" s="154"/>
      <c r="AB73" s="154"/>
      <c r="AC73" s="152"/>
      <c r="AD73" s="153"/>
      <c r="AE73" s="154"/>
      <c r="AF73" s="154"/>
      <c r="AG73" s="152"/>
      <c r="AH73" s="153"/>
      <c r="AI73" s="154"/>
      <c r="AJ73" s="154"/>
      <c r="AK73" s="152"/>
      <c r="AL73" s="153"/>
      <c r="AM73" s="154"/>
      <c r="AN73" s="154"/>
      <c r="AO73" s="152"/>
      <c r="AP73" s="153"/>
      <c r="AQ73" s="154"/>
      <c r="AR73" s="154"/>
      <c r="AS73" s="152"/>
      <c r="AT73" s="153"/>
      <c r="AU73" s="154"/>
      <c r="AV73" s="154"/>
      <c r="AW73" s="154"/>
      <c r="AX73" s="155"/>
      <c r="AY73" s="153"/>
      <c r="AZ73" s="154"/>
      <c r="BA73" s="154"/>
      <c r="BB73" s="154"/>
      <c r="BC73" s="152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</row>
    <row r="74" spans="1:116" ht="12.75" hidden="1" customHeight="1" x14ac:dyDescent="0.2">
      <c r="A74" s="141">
        <v>3411</v>
      </c>
      <c r="B74" s="127"/>
      <c r="C74" s="58"/>
      <c r="D74" s="143"/>
      <c r="E74" s="58"/>
      <c r="F74" s="58"/>
      <c r="G74" s="58"/>
      <c r="H74" s="59"/>
      <c r="I74" s="126"/>
      <c r="J74" s="135"/>
      <c r="K74" s="128"/>
      <c r="L74" s="148"/>
      <c r="M74" s="63">
        <f t="shared" si="11"/>
        <v>0</v>
      </c>
      <c r="N74" s="63">
        <f t="shared" si="17"/>
        <v>0</v>
      </c>
      <c r="O74" s="149"/>
      <c r="P74" s="150"/>
      <c r="Q74" s="151"/>
      <c r="R74" s="325"/>
      <c r="S74" s="326"/>
      <c r="T74" s="152"/>
      <c r="U74" s="153"/>
      <c r="V74" s="154"/>
      <c r="W74" s="154"/>
      <c r="X74" s="154"/>
      <c r="Y74" s="152"/>
      <c r="Z74" s="153"/>
      <c r="AA74" s="154"/>
      <c r="AB74" s="154"/>
      <c r="AC74" s="152"/>
      <c r="AD74" s="153"/>
      <c r="AE74" s="154"/>
      <c r="AF74" s="154"/>
      <c r="AG74" s="152"/>
      <c r="AH74" s="153"/>
      <c r="AI74" s="154"/>
      <c r="AJ74" s="154"/>
      <c r="AK74" s="152"/>
      <c r="AL74" s="153"/>
      <c r="AM74" s="154"/>
      <c r="AN74" s="154"/>
      <c r="AO74" s="152"/>
      <c r="AP74" s="153"/>
      <c r="AQ74" s="154"/>
      <c r="AR74" s="154"/>
      <c r="AS74" s="152"/>
      <c r="AT74" s="153"/>
      <c r="AU74" s="154"/>
      <c r="AV74" s="154"/>
      <c r="AW74" s="154"/>
      <c r="AX74" s="155"/>
      <c r="AY74" s="153"/>
      <c r="AZ74" s="154"/>
      <c r="BA74" s="154"/>
      <c r="BB74" s="154"/>
      <c r="BC74" s="152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</row>
    <row r="75" spans="1:116" ht="3.75" hidden="1" customHeight="1" x14ac:dyDescent="0.2">
      <c r="A75" s="141"/>
      <c r="B75" s="127"/>
      <c r="C75" s="58"/>
      <c r="D75" s="58"/>
      <c r="E75" s="58"/>
      <c r="F75" s="58"/>
      <c r="G75" s="58"/>
      <c r="H75" s="59"/>
      <c r="I75" s="126"/>
      <c r="J75" s="135"/>
      <c r="K75" s="128"/>
      <c r="L75" s="148"/>
      <c r="M75" s="63">
        <f t="shared" si="11"/>
        <v>0</v>
      </c>
      <c r="N75" s="63">
        <f t="shared" si="17"/>
        <v>0</v>
      </c>
      <c r="O75" s="149"/>
      <c r="P75" s="150"/>
      <c r="Q75" s="151"/>
      <c r="R75" s="325"/>
      <c r="S75" s="326"/>
      <c r="T75" s="152"/>
      <c r="U75" s="153"/>
      <c r="V75" s="154"/>
      <c r="W75" s="154"/>
      <c r="X75" s="154"/>
      <c r="Y75" s="152"/>
      <c r="Z75" s="153"/>
      <c r="AA75" s="154"/>
      <c r="AB75" s="154"/>
      <c r="AC75" s="152"/>
      <c r="AD75" s="153"/>
      <c r="AE75" s="154"/>
      <c r="AF75" s="154"/>
      <c r="AG75" s="152"/>
      <c r="AH75" s="153"/>
      <c r="AI75" s="154"/>
      <c r="AJ75" s="154"/>
      <c r="AK75" s="152"/>
      <c r="AL75" s="153"/>
      <c r="AM75" s="154"/>
      <c r="AN75" s="154"/>
      <c r="AO75" s="152"/>
      <c r="AP75" s="153"/>
      <c r="AQ75" s="154"/>
      <c r="AR75" s="154"/>
      <c r="AS75" s="152"/>
      <c r="AT75" s="153"/>
      <c r="AU75" s="154"/>
      <c r="AV75" s="154"/>
      <c r="AW75" s="154"/>
      <c r="AX75" s="155"/>
      <c r="AY75" s="153"/>
      <c r="AZ75" s="154"/>
      <c r="BA75" s="154"/>
      <c r="BB75" s="154"/>
      <c r="BC75" s="152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</row>
    <row r="76" spans="1:116" ht="12.75" hidden="1" customHeight="1" x14ac:dyDescent="0.2">
      <c r="A76" s="141">
        <v>3412</v>
      </c>
      <c r="B76" s="127"/>
      <c r="C76" s="58"/>
      <c r="D76" s="143"/>
      <c r="E76" s="58"/>
      <c r="F76" s="58"/>
      <c r="G76" s="58"/>
      <c r="H76" s="59"/>
      <c r="I76" s="126"/>
      <c r="J76" s="135"/>
      <c r="K76" s="128"/>
      <c r="L76" s="148"/>
      <c r="M76" s="63">
        <f t="shared" si="11"/>
        <v>0</v>
      </c>
      <c r="N76" s="63">
        <f t="shared" si="17"/>
        <v>0</v>
      </c>
      <c r="O76" s="149"/>
      <c r="P76" s="150"/>
      <c r="Q76" s="151"/>
      <c r="R76" s="325"/>
      <c r="S76" s="326"/>
      <c r="T76" s="152"/>
      <c r="U76" s="153"/>
      <c r="V76" s="154"/>
      <c r="W76" s="154"/>
      <c r="X76" s="154"/>
      <c r="Y76" s="152"/>
      <c r="Z76" s="153"/>
      <c r="AA76" s="154"/>
      <c r="AB76" s="154"/>
      <c r="AC76" s="152"/>
      <c r="AD76" s="153"/>
      <c r="AE76" s="154"/>
      <c r="AF76" s="154"/>
      <c r="AG76" s="152"/>
      <c r="AH76" s="153"/>
      <c r="AI76" s="154"/>
      <c r="AJ76" s="154"/>
      <c r="AK76" s="152"/>
      <c r="AL76" s="153"/>
      <c r="AM76" s="154"/>
      <c r="AN76" s="154"/>
      <c r="AO76" s="152"/>
      <c r="AP76" s="153"/>
      <c r="AQ76" s="154"/>
      <c r="AR76" s="154"/>
      <c r="AS76" s="152"/>
      <c r="AT76" s="153"/>
      <c r="AU76" s="154"/>
      <c r="AV76" s="154"/>
      <c r="AW76" s="154"/>
      <c r="AX76" s="155"/>
      <c r="AY76" s="153"/>
      <c r="AZ76" s="154"/>
      <c r="BA76" s="154"/>
      <c r="BB76" s="154"/>
      <c r="BC76" s="152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</row>
    <row r="77" spans="1:116" ht="3.75" hidden="1" customHeight="1" x14ac:dyDescent="0.2">
      <c r="A77" s="141"/>
      <c r="B77" s="127"/>
      <c r="C77" s="58"/>
      <c r="D77" s="58"/>
      <c r="E77" s="58"/>
      <c r="F77" s="58"/>
      <c r="G77" s="58"/>
      <c r="H77" s="59"/>
      <c r="I77" s="126"/>
      <c r="J77" s="135"/>
      <c r="K77" s="128"/>
      <c r="L77" s="148"/>
      <c r="M77" s="63">
        <f t="shared" si="11"/>
        <v>0</v>
      </c>
      <c r="N77" s="63">
        <f t="shared" si="17"/>
        <v>0</v>
      </c>
      <c r="O77" s="149"/>
      <c r="P77" s="150"/>
      <c r="Q77" s="151"/>
      <c r="R77" s="325"/>
      <c r="S77" s="326"/>
      <c r="T77" s="152"/>
      <c r="U77" s="153"/>
      <c r="V77" s="154"/>
      <c r="W77" s="154"/>
      <c r="X77" s="154"/>
      <c r="Y77" s="152"/>
      <c r="Z77" s="153"/>
      <c r="AA77" s="154"/>
      <c r="AB77" s="154"/>
      <c r="AC77" s="152"/>
      <c r="AD77" s="153"/>
      <c r="AE77" s="154"/>
      <c r="AF77" s="154"/>
      <c r="AG77" s="152"/>
      <c r="AH77" s="153"/>
      <c r="AI77" s="154"/>
      <c r="AJ77" s="154"/>
      <c r="AK77" s="152"/>
      <c r="AL77" s="153"/>
      <c r="AM77" s="154"/>
      <c r="AN77" s="154"/>
      <c r="AO77" s="152"/>
      <c r="AP77" s="153"/>
      <c r="AQ77" s="154"/>
      <c r="AR77" s="154"/>
      <c r="AS77" s="152"/>
      <c r="AT77" s="153"/>
      <c r="AU77" s="154"/>
      <c r="AV77" s="154"/>
      <c r="AW77" s="154"/>
      <c r="AX77" s="155"/>
      <c r="AY77" s="153"/>
      <c r="AZ77" s="154"/>
      <c r="BA77" s="154"/>
      <c r="BB77" s="154"/>
      <c r="BC77" s="152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</row>
    <row r="78" spans="1:116" ht="12.75" hidden="1" customHeight="1" x14ac:dyDescent="0.2">
      <c r="A78" s="141">
        <v>3413</v>
      </c>
      <c r="B78" s="127"/>
      <c r="C78" s="58"/>
      <c r="D78" s="143"/>
      <c r="E78" s="58"/>
      <c r="F78" s="58"/>
      <c r="G78" s="58"/>
      <c r="H78" s="59"/>
      <c r="I78" s="126"/>
      <c r="J78" s="135"/>
      <c r="K78" s="128"/>
      <c r="L78" s="148"/>
      <c r="M78" s="63">
        <f t="shared" si="11"/>
        <v>0</v>
      </c>
      <c r="N78" s="63">
        <f t="shared" si="17"/>
        <v>0</v>
      </c>
      <c r="O78" s="149"/>
      <c r="P78" s="150"/>
      <c r="Q78" s="151"/>
      <c r="R78" s="325"/>
      <c r="S78" s="326"/>
      <c r="T78" s="152"/>
      <c r="U78" s="153"/>
      <c r="V78" s="154"/>
      <c r="W78" s="154"/>
      <c r="X78" s="154"/>
      <c r="Y78" s="152"/>
      <c r="Z78" s="153"/>
      <c r="AA78" s="154"/>
      <c r="AB78" s="154"/>
      <c r="AC78" s="152"/>
      <c r="AD78" s="153"/>
      <c r="AE78" s="154"/>
      <c r="AF78" s="154"/>
      <c r="AG78" s="152"/>
      <c r="AH78" s="153"/>
      <c r="AI78" s="154"/>
      <c r="AJ78" s="154"/>
      <c r="AK78" s="152"/>
      <c r="AL78" s="153"/>
      <c r="AM78" s="154"/>
      <c r="AN78" s="154"/>
      <c r="AO78" s="152"/>
      <c r="AP78" s="153"/>
      <c r="AQ78" s="154"/>
      <c r="AR78" s="154"/>
      <c r="AS78" s="152"/>
      <c r="AT78" s="153"/>
      <c r="AU78" s="154"/>
      <c r="AV78" s="154"/>
      <c r="AW78" s="154"/>
      <c r="AX78" s="155"/>
      <c r="AY78" s="153"/>
      <c r="AZ78" s="154"/>
      <c r="BA78" s="154"/>
      <c r="BB78" s="154"/>
      <c r="BC78" s="152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</row>
    <row r="79" spans="1:116" ht="3.75" hidden="1" customHeight="1" x14ac:dyDescent="0.2">
      <c r="A79" s="71"/>
      <c r="B79" s="121"/>
      <c r="C79" s="106"/>
      <c r="D79" s="106"/>
      <c r="E79" s="106"/>
      <c r="F79" s="106"/>
      <c r="G79" s="106"/>
      <c r="H79" s="107"/>
      <c r="I79" s="122"/>
      <c r="J79" s="158"/>
      <c r="K79" s="123"/>
      <c r="L79" s="78"/>
      <c r="M79" s="63">
        <f t="shared" si="11"/>
        <v>0</v>
      </c>
      <c r="N79" s="63">
        <f t="shared" si="17"/>
        <v>0</v>
      </c>
      <c r="O79" s="89"/>
      <c r="P79" s="131"/>
      <c r="Q79" s="132"/>
      <c r="R79" s="320"/>
      <c r="S79" s="321"/>
      <c r="T79" s="81"/>
      <c r="U79" s="82"/>
      <c r="V79" s="83"/>
      <c r="W79" s="83"/>
      <c r="X79" s="83"/>
      <c r="Y79" s="81"/>
      <c r="Z79" s="82"/>
      <c r="AA79" s="83"/>
      <c r="AB79" s="83"/>
      <c r="AC79" s="81"/>
      <c r="AD79" s="82"/>
      <c r="AE79" s="83"/>
      <c r="AF79" s="83"/>
      <c r="AG79" s="81"/>
      <c r="AH79" s="82"/>
      <c r="AI79" s="83"/>
      <c r="AJ79" s="83"/>
      <c r="AK79" s="81"/>
      <c r="AL79" s="82"/>
      <c r="AM79" s="83"/>
      <c r="AN79" s="83"/>
      <c r="AO79" s="81"/>
      <c r="AP79" s="82"/>
      <c r="AQ79" s="83"/>
      <c r="AR79" s="83"/>
      <c r="AS79" s="81"/>
      <c r="AT79" s="82"/>
      <c r="AU79" s="83"/>
      <c r="AV79" s="83"/>
      <c r="AW79" s="83"/>
      <c r="AX79" s="84"/>
      <c r="AY79" s="82"/>
      <c r="AZ79" s="83"/>
      <c r="BA79" s="83"/>
      <c r="BB79" s="83"/>
      <c r="BC79" s="8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</row>
    <row r="80" spans="1:116" ht="12.75" customHeight="1" x14ac:dyDescent="0.2">
      <c r="A80" s="56">
        <v>4180</v>
      </c>
      <c r="B80" s="127"/>
      <c r="C80" s="58" t="s">
        <v>74</v>
      </c>
      <c r="D80" s="58"/>
      <c r="E80" s="58"/>
      <c r="F80" s="58"/>
      <c r="G80" s="58"/>
      <c r="H80" s="59"/>
      <c r="I80" s="126"/>
      <c r="J80" s="135"/>
      <c r="K80" s="128"/>
      <c r="L80" s="63"/>
      <c r="M80" s="63">
        <f t="shared" si="11"/>
        <v>0</v>
      </c>
      <c r="N80" s="63">
        <f t="shared" si="17"/>
        <v>0</v>
      </c>
      <c r="O80" s="64">
        <f>N80/50500000</f>
        <v>0</v>
      </c>
      <c r="P80" s="129"/>
      <c r="Q80" s="130"/>
      <c r="R80" s="318"/>
      <c r="S80" s="319"/>
      <c r="T80" s="67"/>
      <c r="U80" s="68"/>
      <c r="V80" s="69"/>
      <c r="W80" s="69"/>
      <c r="X80" s="88"/>
      <c r="Y80" s="86"/>
      <c r="Z80" s="87"/>
      <c r="AA80" s="88"/>
      <c r="AB80" s="88"/>
      <c r="AC80" s="86"/>
      <c r="AD80" s="87"/>
      <c r="AE80" s="88"/>
      <c r="AF80" s="88"/>
      <c r="AG80" s="86"/>
      <c r="AH80" s="87">
        <f>O80/3</f>
        <v>0</v>
      </c>
      <c r="AI80" s="88">
        <f t="shared" ref="AI80:AJ80" si="18">AH80</f>
        <v>0</v>
      </c>
      <c r="AJ80" s="88">
        <f t="shared" si="18"/>
        <v>0</v>
      </c>
      <c r="AK80" s="86"/>
      <c r="AL80" s="87"/>
      <c r="AM80" s="88"/>
      <c r="AN80" s="88"/>
      <c r="AO80" s="86"/>
      <c r="AP80" s="87"/>
      <c r="AQ80" s="88"/>
      <c r="AR80" s="88"/>
      <c r="AS80" s="86"/>
      <c r="AT80" s="87"/>
      <c r="AU80" s="88"/>
      <c r="AV80" s="88"/>
      <c r="AW80" s="88"/>
      <c r="AX80" s="70"/>
      <c r="AY80" s="87"/>
      <c r="AZ80" s="88"/>
      <c r="BA80" s="88"/>
      <c r="BB80" s="88"/>
      <c r="BC80" s="86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34"/>
      <c r="CX80" s="134"/>
      <c r="CY80" s="134"/>
      <c r="CZ80" s="134"/>
      <c r="DA80" s="134"/>
      <c r="DB80" s="134"/>
      <c r="DC80" s="134"/>
      <c r="DD80" s="134"/>
      <c r="DE80" s="134"/>
      <c r="DF80" s="134"/>
      <c r="DG80" s="134"/>
      <c r="DH80" s="134"/>
      <c r="DI80" s="134"/>
      <c r="DJ80" s="134"/>
      <c r="DK80" s="134"/>
      <c r="DL80" s="134"/>
    </row>
    <row r="81" spans="1:116" ht="3.75" customHeight="1" x14ac:dyDescent="0.2">
      <c r="A81" s="71"/>
      <c r="B81" s="136"/>
      <c r="C81" s="73"/>
      <c r="D81" s="73"/>
      <c r="E81" s="73"/>
      <c r="F81" s="73"/>
      <c r="G81" s="73"/>
      <c r="H81" s="74"/>
      <c r="I81" s="137"/>
      <c r="J81" s="138"/>
      <c r="K81" s="139"/>
      <c r="L81" s="78"/>
      <c r="M81" s="63">
        <f t="shared" si="11"/>
        <v>0</v>
      </c>
      <c r="N81" s="63"/>
      <c r="O81" s="89"/>
      <c r="P81" s="131"/>
      <c r="Q81" s="132"/>
      <c r="R81" s="320"/>
      <c r="S81" s="321"/>
      <c r="T81" s="81"/>
      <c r="U81" s="82"/>
      <c r="V81" s="83"/>
      <c r="W81" s="83"/>
      <c r="X81" s="83"/>
      <c r="Y81" s="81"/>
      <c r="Z81" s="82"/>
      <c r="AA81" s="83"/>
      <c r="AB81" s="83"/>
      <c r="AC81" s="81"/>
      <c r="AD81" s="82"/>
      <c r="AE81" s="83"/>
      <c r="AF81" s="83"/>
      <c r="AG81" s="81"/>
      <c r="AH81" s="82"/>
      <c r="AI81" s="83"/>
      <c r="AJ81" s="83"/>
      <c r="AK81" s="81"/>
      <c r="AL81" s="82"/>
      <c r="AM81" s="83"/>
      <c r="AN81" s="83"/>
      <c r="AO81" s="81"/>
      <c r="AP81" s="82"/>
      <c r="AQ81" s="83"/>
      <c r="AR81" s="83"/>
      <c r="AS81" s="81"/>
      <c r="AT81" s="82"/>
      <c r="AU81" s="83"/>
      <c r="AV81" s="83"/>
      <c r="AW81" s="83"/>
      <c r="AX81" s="84"/>
      <c r="AY81" s="82"/>
      <c r="AZ81" s="83"/>
      <c r="BA81" s="83"/>
      <c r="BB81" s="83"/>
      <c r="BC81" s="8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40"/>
      <c r="CX81" s="140"/>
      <c r="CY81" s="140"/>
      <c r="CZ81" s="140"/>
      <c r="DA81" s="140"/>
      <c r="DB81" s="140"/>
      <c r="DC81" s="140"/>
      <c r="DD81" s="140"/>
      <c r="DE81" s="140"/>
      <c r="DF81" s="140"/>
      <c r="DG81" s="140"/>
      <c r="DH81" s="140"/>
      <c r="DI81" s="140"/>
      <c r="DJ81" s="140"/>
      <c r="DK81" s="140"/>
      <c r="DL81" s="140"/>
    </row>
    <row r="82" spans="1:116" ht="12.75" customHeight="1" x14ac:dyDescent="0.2">
      <c r="A82" s="56">
        <v>4190</v>
      </c>
      <c r="B82" s="127"/>
      <c r="C82" s="58" t="s">
        <v>75</v>
      </c>
      <c r="D82" s="58"/>
      <c r="E82" s="58"/>
      <c r="F82" s="58"/>
      <c r="G82" s="58"/>
      <c r="H82" s="59"/>
      <c r="I82" s="126"/>
      <c r="J82" s="135"/>
      <c r="K82" s="128"/>
      <c r="L82" s="63"/>
      <c r="M82" s="63">
        <f t="shared" si="11"/>
        <v>0</v>
      </c>
      <c r="N82" s="63">
        <f>L82+M82</f>
        <v>0</v>
      </c>
      <c r="O82" s="64">
        <f>N82/50500000</f>
        <v>0</v>
      </c>
      <c r="P82" s="129"/>
      <c r="Q82" s="130"/>
      <c r="R82" s="318"/>
      <c r="S82" s="319"/>
      <c r="T82" s="86"/>
      <c r="U82" s="87"/>
      <c r="V82" s="88"/>
      <c r="W82" s="88"/>
      <c r="X82" s="88"/>
      <c r="Y82" s="86"/>
      <c r="Z82" s="87"/>
      <c r="AA82" s="88"/>
      <c r="AB82" s="88"/>
      <c r="AC82" s="86"/>
      <c r="AD82" s="87"/>
      <c r="AE82" s="88"/>
      <c r="AF82" s="88"/>
      <c r="AG82" s="86"/>
      <c r="AH82" s="87"/>
      <c r="AI82" s="88">
        <f>O82/2</f>
        <v>0</v>
      </c>
      <c r="AJ82" s="88">
        <f>AI82</f>
        <v>0</v>
      </c>
      <c r="AK82" s="86"/>
      <c r="AL82" s="87"/>
      <c r="AM82" s="88"/>
      <c r="AN82" s="88"/>
      <c r="AO82" s="86"/>
      <c r="AP82" s="87"/>
      <c r="AQ82" s="88"/>
      <c r="AR82" s="88"/>
      <c r="AS82" s="86"/>
      <c r="AT82" s="87"/>
      <c r="AU82" s="88"/>
      <c r="AV82" s="88"/>
      <c r="AW82" s="88"/>
      <c r="AX82" s="70"/>
      <c r="AY82" s="87"/>
      <c r="AZ82" s="88"/>
      <c r="BA82" s="88"/>
      <c r="BB82" s="88"/>
      <c r="BC82" s="86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34"/>
      <c r="CX82" s="134"/>
      <c r="CY82" s="134"/>
      <c r="CZ82" s="134"/>
      <c r="DA82" s="134"/>
      <c r="DB82" s="134"/>
      <c r="DC82" s="134"/>
      <c r="DD82" s="134"/>
      <c r="DE82" s="134"/>
      <c r="DF82" s="134"/>
      <c r="DG82" s="134"/>
      <c r="DH82" s="134"/>
      <c r="DI82" s="134"/>
      <c r="DJ82" s="134"/>
      <c r="DK82" s="134"/>
      <c r="DL82" s="134"/>
    </row>
    <row r="83" spans="1:116" ht="3.75" customHeight="1" x14ac:dyDescent="0.2">
      <c r="A83" s="71"/>
      <c r="B83" s="136"/>
      <c r="C83" s="73"/>
      <c r="D83" s="73"/>
      <c r="E83" s="73"/>
      <c r="F83" s="73"/>
      <c r="G83" s="73"/>
      <c r="H83" s="74"/>
      <c r="I83" s="137"/>
      <c r="J83" s="138"/>
      <c r="K83" s="139"/>
      <c r="L83" s="78"/>
      <c r="M83" s="63">
        <f t="shared" si="11"/>
        <v>0</v>
      </c>
      <c r="N83" s="63"/>
      <c r="O83" s="89"/>
      <c r="P83" s="131"/>
      <c r="Q83" s="132"/>
      <c r="R83" s="320"/>
      <c r="S83" s="321"/>
      <c r="T83" s="81"/>
      <c r="U83" s="82"/>
      <c r="V83" s="83"/>
      <c r="W83" s="83"/>
      <c r="X83" s="83"/>
      <c r="Y83" s="81"/>
      <c r="Z83" s="82"/>
      <c r="AA83" s="83"/>
      <c r="AB83" s="83"/>
      <c r="AC83" s="81"/>
      <c r="AD83" s="82"/>
      <c r="AE83" s="83"/>
      <c r="AF83" s="83"/>
      <c r="AG83" s="81"/>
      <c r="AH83" s="82"/>
      <c r="AI83" s="83"/>
      <c r="AJ83" s="83"/>
      <c r="AK83" s="81"/>
      <c r="AL83" s="82"/>
      <c r="AM83" s="83"/>
      <c r="AN83" s="83"/>
      <c r="AO83" s="81"/>
      <c r="AP83" s="82"/>
      <c r="AQ83" s="83"/>
      <c r="AR83" s="83"/>
      <c r="AS83" s="81"/>
      <c r="AT83" s="82"/>
      <c r="AU83" s="83"/>
      <c r="AV83" s="83"/>
      <c r="AW83" s="83"/>
      <c r="AX83" s="84"/>
      <c r="AY83" s="82"/>
      <c r="AZ83" s="83"/>
      <c r="BA83" s="83"/>
      <c r="BB83" s="83"/>
      <c r="BC83" s="8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40"/>
      <c r="CX83" s="140"/>
      <c r="CY83" s="140"/>
      <c r="CZ83" s="140"/>
      <c r="DA83" s="140"/>
      <c r="DB83" s="140"/>
      <c r="DC83" s="140"/>
      <c r="DD83" s="140"/>
      <c r="DE83" s="140"/>
      <c r="DF83" s="140"/>
      <c r="DG83" s="140"/>
      <c r="DH83" s="140"/>
      <c r="DI83" s="140"/>
      <c r="DJ83" s="140"/>
      <c r="DK83" s="140"/>
      <c r="DL83" s="140"/>
    </row>
    <row r="84" spans="1:116" ht="12.75" customHeight="1" x14ac:dyDescent="0.2">
      <c r="A84" s="56">
        <v>4100</v>
      </c>
      <c r="B84" s="127"/>
      <c r="C84" s="58" t="s">
        <v>76</v>
      </c>
      <c r="D84" s="58"/>
      <c r="E84" s="58"/>
      <c r="F84" s="58"/>
      <c r="G84" s="58"/>
      <c r="H84" s="59"/>
      <c r="I84" s="126"/>
      <c r="J84" s="135"/>
      <c r="K84" s="128"/>
      <c r="L84" s="63"/>
      <c r="M84" s="63">
        <f t="shared" si="11"/>
        <v>0</v>
      </c>
      <c r="N84" s="63">
        <f>L84+M84</f>
        <v>0</v>
      </c>
      <c r="O84" s="64">
        <f>N84/50500000</f>
        <v>0</v>
      </c>
      <c r="P84" s="129"/>
      <c r="Q84" s="130"/>
      <c r="R84" s="318"/>
      <c r="S84" s="319"/>
      <c r="T84" s="86"/>
      <c r="U84" s="87"/>
      <c r="V84" s="88"/>
      <c r="W84" s="88"/>
      <c r="X84" s="88"/>
      <c r="Y84" s="86"/>
      <c r="Z84" s="87"/>
      <c r="AA84" s="88"/>
      <c r="AB84" s="88"/>
      <c r="AC84" s="86"/>
      <c r="AD84" s="87"/>
      <c r="AE84" s="88"/>
      <c r="AF84" s="88"/>
      <c r="AG84" s="86"/>
      <c r="AH84" s="87"/>
      <c r="AI84" s="88"/>
      <c r="AJ84" s="88"/>
      <c r="AK84" s="86">
        <f>O84</f>
        <v>0</v>
      </c>
      <c r="AL84" s="87"/>
      <c r="AM84" s="88"/>
      <c r="AN84" s="88"/>
      <c r="AO84" s="86"/>
      <c r="AP84" s="87"/>
      <c r="AQ84" s="88"/>
      <c r="AR84" s="88"/>
      <c r="AS84" s="86"/>
      <c r="AT84" s="87"/>
      <c r="AU84" s="88"/>
      <c r="AV84" s="88"/>
      <c r="AW84" s="88"/>
      <c r="AX84" s="70"/>
      <c r="AY84" s="87"/>
      <c r="AZ84" s="88"/>
      <c r="BA84" s="88"/>
      <c r="BB84" s="88"/>
      <c r="BC84" s="86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34"/>
      <c r="CX84" s="134"/>
      <c r="CY84" s="134"/>
      <c r="CZ84" s="134"/>
      <c r="DA84" s="134"/>
      <c r="DB84" s="134"/>
      <c r="DC84" s="134"/>
      <c r="DD84" s="134"/>
      <c r="DE84" s="134"/>
      <c r="DF84" s="134"/>
      <c r="DG84" s="134"/>
      <c r="DH84" s="134"/>
      <c r="DI84" s="134"/>
      <c r="DJ84" s="134"/>
      <c r="DK84" s="134"/>
      <c r="DL84" s="134"/>
    </row>
    <row r="85" spans="1:116" ht="3.75" customHeight="1" x14ac:dyDescent="0.2">
      <c r="A85" s="71"/>
      <c r="B85" s="136"/>
      <c r="C85" s="73"/>
      <c r="D85" s="73"/>
      <c r="E85" s="73"/>
      <c r="F85" s="73"/>
      <c r="G85" s="73"/>
      <c r="H85" s="74"/>
      <c r="I85" s="137"/>
      <c r="J85" s="138"/>
      <c r="K85" s="139"/>
      <c r="L85" s="78"/>
      <c r="M85" s="63">
        <f t="shared" si="11"/>
        <v>0</v>
      </c>
      <c r="N85" s="63"/>
      <c r="O85" s="89"/>
      <c r="P85" s="131"/>
      <c r="Q85" s="132"/>
      <c r="R85" s="320"/>
      <c r="S85" s="321"/>
      <c r="T85" s="81"/>
      <c r="U85" s="82"/>
      <c r="V85" s="83"/>
      <c r="W85" s="83"/>
      <c r="X85" s="83"/>
      <c r="Y85" s="81"/>
      <c r="Z85" s="82"/>
      <c r="AA85" s="83"/>
      <c r="AB85" s="83"/>
      <c r="AC85" s="81"/>
      <c r="AD85" s="82"/>
      <c r="AE85" s="83"/>
      <c r="AF85" s="83"/>
      <c r="AG85" s="81"/>
      <c r="AH85" s="82"/>
      <c r="AI85" s="83"/>
      <c r="AJ85" s="83"/>
      <c r="AK85" s="81"/>
      <c r="AL85" s="82"/>
      <c r="AM85" s="83"/>
      <c r="AN85" s="83"/>
      <c r="AO85" s="81"/>
      <c r="AP85" s="82"/>
      <c r="AQ85" s="83"/>
      <c r="AR85" s="83"/>
      <c r="AS85" s="81"/>
      <c r="AT85" s="82"/>
      <c r="AU85" s="83"/>
      <c r="AV85" s="83"/>
      <c r="AW85" s="83"/>
      <c r="AX85" s="84"/>
      <c r="AY85" s="82"/>
      <c r="AZ85" s="83"/>
      <c r="BA85" s="83"/>
      <c r="BB85" s="83"/>
      <c r="BC85" s="8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40"/>
      <c r="CX85" s="140"/>
      <c r="CY85" s="140"/>
      <c r="CZ85" s="140"/>
      <c r="DA85" s="140"/>
      <c r="DB85" s="140"/>
      <c r="DC85" s="140"/>
      <c r="DD85" s="140"/>
      <c r="DE85" s="140"/>
      <c r="DF85" s="140"/>
      <c r="DG85" s="140"/>
      <c r="DH85" s="140"/>
      <c r="DI85" s="140"/>
      <c r="DJ85" s="140"/>
      <c r="DK85" s="140"/>
      <c r="DL85" s="140"/>
    </row>
    <row r="86" spans="1:116" ht="12.75" customHeight="1" x14ac:dyDescent="0.2">
      <c r="A86" s="56">
        <v>4110</v>
      </c>
      <c r="B86" s="127"/>
      <c r="C86" s="58" t="s">
        <v>77</v>
      </c>
      <c r="D86" s="58"/>
      <c r="E86" s="58"/>
      <c r="F86" s="58"/>
      <c r="G86" s="58"/>
      <c r="H86" s="59"/>
      <c r="I86" s="126"/>
      <c r="J86" s="135"/>
      <c r="K86" s="128"/>
      <c r="L86" s="63"/>
      <c r="M86" s="63">
        <f t="shared" si="11"/>
        <v>0</v>
      </c>
      <c r="N86" s="63">
        <f>L86+M86</f>
        <v>0</v>
      </c>
      <c r="O86" s="64">
        <f>N86/50500000</f>
        <v>0</v>
      </c>
      <c r="P86" s="129"/>
      <c r="Q86" s="130"/>
      <c r="R86" s="318"/>
      <c r="S86" s="319"/>
      <c r="T86" s="86"/>
      <c r="U86" s="87"/>
      <c r="V86" s="88"/>
      <c r="W86" s="88"/>
      <c r="X86" s="88"/>
      <c r="Y86" s="86"/>
      <c r="Z86" s="87"/>
      <c r="AA86" s="88"/>
      <c r="AB86" s="88"/>
      <c r="AC86" s="86"/>
      <c r="AD86" s="87"/>
      <c r="AE86" s="88"/>
      <c r="AF86" s="88"/>
      <c r="AG86" s="86"/>
      <c r="AH86" s="87"/>
      <c r="AI86" s="88"/>
      <c r="AJ86" s="88"/>
      <c r="AK86" s="86"/>
      <c r="AL86" s="87">
        <f>O86/2</f>
        <v>0</v>
      </c>
      <c r="AM86" s="88">
        <f>AL86</f>
        <v>0</v>
      </c>
      <c r="AN86" s="88"/>
      <c r="AO86" s="86"/>
      <c r="AP86" s="87"/>
      <c r="AQ86" s="88"/>
      <c r="AR86" s="88"/>
      <c r="AS86" s="86"/>
      <c r="AT86" s="87"/>
      <c r="AU86" s="88"/>
      <c r="AV86" s="88"/>
      <c r="AW86" s="88"/>
      <c r="AX86" s="70"/>
      <c r="AY86" s="87"/>
      <c r="AZ86" s="88"/>
      <c r="BA86" s="88"/>
      <c r="BB86" s="88"/>
      <c r="BC86" s="86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34"/>
      <c r="CX86" s="134"/>
      <c r="CY86" s="134"/>
      <c r="CZ86" s="134"/>
      <c r="DA86" s="134"/>
      <c r="DB86" s="134"/>
      <c r="DC86" s="134"/>
      <c r="DD86" s="134"/>
      <c r="DE86" s="134"/>
      <c r="DF86" s="134"/>
      <c r="DG86" s="134"/>
      <c r="DH86" s="134"/>
      <c r="DI86" s="134"/>
      <c r="DJ86" s="134"/>
      <c r="DK86" s="134"/>
      <c r="DL86" s="134"/>
    </row>
    <row r="87" spans="1:116" ht="3.75" customHeight="1" x14ac:dyDescent="0.2">
      <c r="A87" s="71"/>
      <c r="B87" s="136"/>
      <c r="C87" s="140"/>
      <c r="D87" s="73"/>
      <c r="E87" s="73"/>
      <c r="F87" s="73"/>
      <c r="G87" s="73"/>
      <c r="H87" s="74"/>
      <c r="I87" s="137"/>
      <c r="J87" s="138"/>
      <c r="K87" s="139"/>
      <c r="L87" s="78"/>
      <c r="M87" s="63">
        <f t="shared" si="11"/>
        <v>0</v>
      </c>
      <c r="N87" s="63"/>
      <c r="O87" s="89"/>
      <c r="P87" s="131"/>
      <c r="Q87" s="132"/>
      <c r="R87" s="320"/>
      <c r="S87" s="321"/>
      <c r="T87" s="81"/>
      <c r="U87" s="82"/>
      <c r="V87" s="83"/>
      <c r="W87" s="83"/>
      <c r="X87" s="83"/>
      <c r="Y87" s="81"/>
      <c r="Z87" s="82"/>
      <c r="AA87" s="83"/>
      <c r="AB87" s="83"/>
      <c r="AC87" s="81"/>
      <c r="AD87" s="82"/>
      <c r="AE87" s="83"/>
      <c r="AF87" s="83"/>
      <c r="AG87" s="81"/>
      <c r="AH87" s="82"/>
      <c r="AI87" s="83"/>
      <c r="AJ87" s="83"/>
      <c r="AK87" s="81"/>
      <c r="AL87" s="82"/>
      <c r="AM87" s="83"/>
      <c r="AN87" s="83"/>
      <c r="AO87" s="81"/>
      <c r="AP87" s="82"/>
      <c r="AQ87" s="83"/>
      <c r="AR87" s="83"/>
      <c r="AS87" s="81"/>
      <c r="AT87" s="82"/>
      <c r="AU87" s="83"/>
      <c r="AV87" s="83"/>
      <c r="AW87" s="83"/>
      <c r="AX87" s="84"/>
      <c r="AY87" s="82"/>
      <c r="AZ87" s="83"/>
      <c r="BA87" s="83"/>
      <c r="BB87" s="83"/>
      <c r="BC87" s="8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40"/>
      <c r="CX87" s="140"/>
      <c r="CY87" s="140"/>
      <c r="CZ87" s="140"/>
      <c r="DA87" s="140"/>
      <c r="DB87" s="140"/>
      <c r="DC87" s="140"/>
      <c r="DD87" s="140"/>
      <c r="DE87" s="140"/>
      <c r="DF87" s="140"/>
      <c r="DG87" s="140"/>
      <c r="DH87" s="140"/>
      <c r="DI87" s="140"/>
      <c r="DJ87" s="140"/>
      <c r="DK87" s="140"/>
      <c r="DL87" s="140"/>
    </row>
    <row r="88" spans="1:116" ht="12.75" customHeight="1" x14ac:dyDescent="0.2">
      <c r="A88" s="56">
        <v>4120</v>
      </c>
      <c r="B88" s="127"/>
      <c r="C88" s="58" t="s">
        <v>78</v>
      </c>
      <c r="D88" s="58"/>
      <c r="E88" s="58"/>
      <c r="F88" s="58"/>
      <c r="G88" s="58"/>
      <c r="H88" s="59"/>
      <c r="I88" s="126"/>
      <c r="J88" s="135"/>
      <c r="K88" s="128"/>
      <c r="L88" s="63"/>
      <c r="M88" s="63">
        <f t="shared" si="11"/>
        <v>0</v>
      </c>
      <c r="N88" s="63">
        <f>L88+M88</f>
        <v>0</v>
      </c>
      <c r="O88" s="64">
        <f>N88/50500000</f>
        <v>0</v>
      </c>
      <c r="P88" s="129"/>
      <c r="Q88" s="130"/>
      <c r="R88" s="318"/>
      <c r="S88" s="319"/>
      <c r="T88" s="86"/>
      <c r="U88" s="87"/>
      <c r="V88" s="88"/>
      <c r="W88" s="88"/>
      <c r="X88" s="88"/>
      <c r="Y88" s="86"/>
      <c r="Z88" s="87"/>
      <c r="AA88" s="88"/>
      <c r="AB88" s="88"/>
      <c r="AC88" s="86"/>
      <c r="AD88" s="87"/>
      <c r="AE88" s="88"/>
      <c r="AF88" s="88"/>
      <c r="AG88" s="86"/>
      <c r="AH88" s="87"/>
      <c r="AI88" s="88"/>
      <c r="AJ88" s="88"/>
      <c r="AK88" s="86"/>
      <c r="AL88" s="87"/>
      <c r="AM88" s="88">
        <f>O88/4</f>
        <v>0</v>
      </c>
      <c r="AN88" s="88">
        <f>O88*3/4</f>
        <v>0</v>
      </c>
      <c r="AO88" s="86"/>
      <c r="AP88" s="87"/>
      <c r="AQ88" s="88"/>
      <c r="AR88" s="88"/>
      <c r="AS88" s="86"/>
      <c r="AT88" s="87"/>
      <c r="AU88" s="88"/>
      <c r="AV88" s="88"/>
      <c r="AW88" s="88"/>
      <c r="AX88" s="70"/>
      <c r="AY88" s="87"/>
      <c r="AZ88" s="88"/>
      <c r="BA88" s="88"/>
      <c r="BB88" s="88"/>
      <c r="BC88" s="86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34"/>
      <c r="CX88" s="134"/>
      <c r="CY88" s="134"/>
      <c r="CZ88" s="134"/>
      <c r="DA88" s="134"/>
      <c r="DB88" s="134"/>
      <c r="DC88" s="134"/>
      <c r="DD88" s="134"/>
      <c r="DE88" s="134"/>
      <c r="DF88" s="134"/>
      <c r="DG88" s="134"/>
      <c r="DH88" s="134"/>
      <c r="DI88" s="134"/>
      <c r="DJ88" s="134"/>
      <c r="DK88" s="134"/>
      <c r="DL88" s="134"/>
    </row>
    <row r="89" spans="1:116" ht="3.75" customHeight="1" x14ac:dyDescent="0.2">
      <c r="A89" s="71"/>
      <c r="B89" s="136"/>
      <c r="C89" s="73"/>
      <c r="D89" s="73"/>
      <c r="E89" s="73"/>
      <c r="F89" s="73"/>
      <c r="G89" s="73"/>
      <c r="H89" s="74"/>
      <c r="I89" s="137"/>
      <c r="J89" s="138"/>
      <c r="K89" s="139"/>
      <c r="L89" s="78"/>
      <c r="M89" s="63">
        <f t="shared" si="11"/>
        <v>0</v>
      </c>
      <c r="N89" s="63"/>
      <c r="O89" s="89"/>
      <c r="P89" s="131"/>
      <c r="Q89" s="132"/>
      <c r="R89" s="320"/>
      <c r="S89" s="321"/>
      <c r="T89" s="81"/>
      <c r="U89" s="82"/>
      <c r="V89" s="83"/>
      <c r="W89" s="83"/>
      <c r="X89" s="83"/>
      <c r="Y89" s="81"/>
      <c r="Z89" s="82"/>
      <c r="AA89" s="83"/>
      <c r="AB89" s="83"/>
      <c r="AC89" s="81"/>
      <c r="AD89" s="82"/>
      <c r="AE89" s="83"/>
      <c r="AF89" s="83"/>
      <c r="AG89" s="81"/>
      <c r="AH89" s="82"/>
      <c r="AI89" s="83"/>
      <c r="AJ89" s="83"/>
      <c r="AK89" s="81"/>
      <c r="AL89" s="82"/>
      <c r="AM89" s="83"/>
      <c r="AN89" s="83"/>
      <c r="AO89" s="81"/>
      <c r="AP89" s="82"/>
      <c r="AQ89" s="83"/>
      <c r="AR89" s="83"/>
      <c r="AS89" s="81"/>
      <c r="AT89" s="82"/>
      <c r="AU89" s="83"/>
      <c r="AV89" s="83"/>
      <c r="AW89" s="83"/>
      <c r="AX89" s="84"/>
      <c r="AY89" s="82"/>
      <c r="AZ89" s="83"/>
      <c r="BA89" s="83"/>
      <c r="BB89" s="83"/>
      <c r="BC89" s="8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40"/>
      <c r="CX89" s="140"/>
      <c r="CY89" s="140"/>
      <c r="CZ89" s="140"/>
      <c r="DA89" s="140"/>
      <c r="DB89" s="140"/>
      <c r="DC89" s="140"/>
      <c r="DD89" s="140"/>
      <c r="DE89" s="140"/>
      <c r="DF89" s="140"/>
      <c r="DG89" s="140"/>
      <c r="DH89" s="140"/>
      <c r="DI89" s="140"/>
      <c r="DJ89" s="140"/>
      <c r="DK89" s="140"/>
      <c r="DL89" s="140"/>
    </row>
    <row r="90" spans="1:116" ht="12.75" customHeight="1" x14ac:dyDescent="0.2">
      <c r="A90" s="56">
        <v>4130</v>
      </c>
      <c r="B90" s="127"/>
      <c r="C90" s="58" t="s">
        <v>79</v>
      </c>
      <c r="D90" s="58"/>
      <c r="E90" s="58"/>
      <c r="F90" s="58"/>
      <c r="G90" s="58"/>
      <c r="H90" s="59"/>
      <c r="I90" s="126"/>
      <c r="J90" s="135"/>
      <c r="K90" s="128"/>
      <c r="L90" s="63"/>
      <c r="M90" s="63">
        <f t="shared" si="11"/>
        <v>0</v>
      </c>
      <c r="N90" s="63">
        <f>L90+M90</f>
        <v>0</v>
      </c>
      <c r="O90" s="64">
        <f>N90/50500000</f>
        <v>0</v>
      </c>
      <c r="P90" s="129"/>
      <c r="Q90" s="130"/>
      <c r="R90" s="318"/>
      <c r="S90" s="319"/>
      <c r="T90" s="86"/>
      <c r="U90" s="87"/>
      <c r="V90" s="88"/>
      <c r="W90" s="88"/>
      <c r="X90" s="88"/>
      <c r="Y90" s="86"/>
      <c r="Z90" s="87"/>
      <c r="AA90" s="88"/>
      <c r="AB90" s="88"/>
      <c r="AC90" s="86"/>
      <c r="AD90" s="87"/>
      <c r="AE90" s="88"/>
      <c r="AF90" s="88"/>
      <c r="AG90" s="86"/>
      <c r="AH90" s="87"/>
      <c r="AI90" s="88"/>
      <c r="AJ90" s="88"/>
      <c r="AK90" s="86"/>
      <c r="AL90" s="87"/>
      <c r="AM90" s="88"/>
      <c r="AN90" s="88"/>
      <c r="AO90" s="86">
        <f>O90</f>
        <v>0</v>
      </c>
      <c r="AP90" s="87"/>
      <c r="AQ90" s="88"/>
      <c r="AR90" s="88"/>
      <c r="AS90" s="86"/>
      <c r="AT90" s="87"/>
      <c r="AU90" s="88"/>
      <c r="AV90" s="88"/>
      <c r="AW90" s="88"/>
      <c r="AX90" s="70"/>
      <c r="AY90" s="87"/>
      <c r="AZ90" s="88"/>
      <c r="BA90" s="88"/>
      <c r="BB90" s="88"/>
      <c r="BC90" s="86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34"/>
      <c r="CX90" s="134"/>
      <c r="CY90" s="134"/>
      <c r="CZ90" s="134"/>
      <c r="DA90" s="134"/>
      <c r="DB90" s="134"/>
      <c r="DC90" s="134"/>
      <c r="DD90" s="134"/>
      <c r="DE90" s="134"/>
      <c r="DF90" s="134"/>
      <c r="DG90" s="134"/>
      <c r="DH90" s="134"/>
      <c r="DI90" s="134"/>
      <c r="DJ90" s="134"/>
      <c r="DK90" s="134"/>
      <c r="DL90" s="134"/>
    </row>
    <row r="91" spans="1:116" ht="3.75" customHeight="1" x14ac:dyDescent="0.2">
      <c r="A91" s="71"/>
      <c r="B91" s="136"/>
      <c r="C91" s="73"/>
      <c r="D91" s="73"/>
      <c r="E91" s="73"/>
      <c r="F91" s="73"/>
      <c r="G91" s="73"/>
      <c r="H91" s="74"/>
      <c r="I91" s="137"/>
      <c r="J91" s="138"/>
      <c r="K91" s="139"/>
      <c r="L91" s="78"/>
      <c r="M91" s="63">
        <f t="shared" si="11"/>
        <v>0</v>
      </c>
      <c r="N91" s="63"/>
      <c r="O91" s="89"/>
      <c r="P91" s="131"/>
      <c r="Q91" s="132"/>
      <c r="R91" s="320"/>
      <c r="S91" s="321"/>
      <c r="T91" s="81"/>
      <c r="U91" s="82"/>
      <c r="V91" s="83"/>
      <c r="W91" s="83"/>
      <c r="X91" s="83"/>
      <c r="Y91" s="81"/>
      <c r="Z91" s="82"/>
      <c r="AA91" s="83"/>
      <c r="AB91" s="83"/>
      <c r="AC91" s="81"/>
      <c r="AD91" s="82"/>
      <c r="AE91" s="83"/>
      <c r="AF91" s="83"/>
      <c r="AG91" s="81"/>
      <c r="AH91" s="82"/>
      <c r="AI91" s="83"/>
      <c r="AJ91" s="83"/>
      <c r="AK91" s="81"/>
      <c r="AL91" s="82"/>
      <c r="AM91" s="83"/>
      <c r="AN91" s="83"/>
      <c r="AO91" s="81"/>
      <c r="AP91" s="82"/>
      <c r="AQ91" s="83"/>
      <c r="AR91" s="83"/>
      <c r="AS91" s="81"/>
      <c r="AT91" s="82"/>
      <c r="AU91" s="83"/>
      <c r="AV91" s="83"/>
      <c r="AW91" s="83"/>
      <c r="AX91" s="84"/>
      <c r="AY91" s="82"/>
      <c r="AZ91" s="83"/>
      <c r="BA91" s="83"/>
      <c r="BB91" s="83"/>
      <c r="BC91" s="8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40"/>
      <c r="CX91" s="140"/>
      <c r="CY91" s="140"/>
      <c r="CZ91" s="140"/>
      <c r="DA91" s="140"/>
      <c r="DB91" s="140"/>
      <c r="DC91" s="140"/>
      <c r="DD91" s="140"/>
      <c r="DE91" s="140"/>
      <c r="DF91" s="140"/>
      <c r="DG91" s="140"/>
      <c r="DH91" s="140"/>
      <c r="DI91" s="140"/>
      <c r="DJ91" s="140"/>
      <c r="DK91" s="140"/>
      <c r="DL91" s="140"/>
    </row>
    <row r="92" spans="1:116" ht="12.75" customHeight="1" x14ac:dyDescent="0.2">
      <c r="A92" s="56">
        <v>4140</v>
      </c>
      <c r="B92" s="127"/>
      <c r="C92" s="58" t="s">
        <v>80</v>
      </c>
      <c r="D92" s="58"/>
      <c r="E92" s="58"/>
      <c r="F92" s="58"/>
      <c r="G92" s="58"/>
      <c r="H92" s="59"/>
      <c r="I92" s="126"/>
      <c r="J92" s="135"/>
      <c r="K92" s="128"/>
      <c r="L92" s="63"/>
      <c r="M92" s="63">
        <f t="shared" si="11"/>
        <v>0</v>
      </c>
      <c r="N92" s="63">
        <f>L92+M92</f>
        <v>0</v>
      </c>
      <c r="O92" s="64">
        <f>N92/50500000</f>
        <v>0</v>
      </c>
      <c r="P92" s="129"/>
      <c r="Q92" s="130"/>
      <c r="R92" s="318"/>
      <c r="S92" s="319"/>
      <c r="T92" s="86"/>
      <c r="U92" s="87"/>
      <c r="V92" s="88"/>
      <c r="W92" s="88"/>
      <c r="X92" s="88"/>
      <c r="Y92" s="86"/>
      <c r="Z92" s="87"/>
      <c r="AA92" s="88"/>
      <c r="AB92" s="88"/>
      <c r="AC92" s="86"/>
      <c r="AD92" s="87"/>
      <c r="AE92" s="88"/>
      <c r="AF92" s="88"/>
      <c r="AG92" s="86"/>
      <c r="AH92" s="87">
        <f>O92/5</f>
        <v>0</v>
      </c>
      <c r="AI92" s="88">
        <f t="shared" ref="AI92:AL92" si="19">AH92</f>
        <v>0</v>
      </c>
      <c r="AJ92" s="88">
        <f t="shared" si="19"/>
        <v>0</v>
      </c>
      <c r="AK92" s="88">
        <f t="shared" si="19"/>
        <v>0</v>
      </c>
      <c r="AL92" s="88">
        <f t="shared" si="19"/>
        <v>0</v>
      </c>
      <c r="AM92" s="88"/>
      <c r="AN92" s="88"/>
      <c r="AO92" s="86"/>
      <c r="AP92" s="87"/>
      <c r="AQ92" s="88"/>
      <c r="AR92" s="88"/>
      <c r="AS92" s="86"/>
      <c r="AT92" s="87"/>
      <c r="AU92" s="88"/>
      <c r="AV92" s="88"/>
      <c r="AW92" s="88"/>
      <c r="AX92" s="70"/>
      <c r="AY92" s="87"/>
      <c r="AZ92" s="88"/>
      <c r="BA92" s="88"/>
      <c r="BB92" s="88"/>
      <c r="BC92" s="86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34"/>
      <c r="CX92" s="134"/>
      <c r="CY92" s="134"/>
      <c r="CZ92" s="134"/>
      <c r="DA92" s="134"/>
      <c r="DB92" s="134"/>
      <c r="DC92" s="134"/>
      <c r="DD92" s="134"/>
      <c r="DE92" s="134"/>
      <c r="DF92" s="134"/>
      <c r="DG92" s="134"/>
      <c r="DH92" s="134"/>
      <c r="DI92" s="134"/>
      <c r="DJ92" s="134"/>
      <c r="DK92" s="134"/>
      <c r="DL92" s="134"/>
    </row>
    <row r="93" spans="1:116" ht="3.75" customHeight="1" x14ac:dyDescent="0.2">
      <c r="A93" s="71"/>
      <c r="B93" s="136"/>
      <c r="C93" s="73"/>
      <c r="D93" s="73"/>
      <c r="E93" s="73"/>
      <c r="F93" s="73"/>
      <c r="G93" s="73"/>
      <c r="H93" s="74"/>
      <c r="I93" s="137"/>
      <c r="J93" s="138"/>
      <c r="K93" s="139"/>
      <c r="L93" s="78"/>
      <c r="M93" s="63">
        <f t="shared" si="11"/>
        <v>0</v>
      </c>
      <c r="N93" s="63"/>
      <c r="O93" s="89"/>
      <c r="P93" s="131"/>
      <c r="Q93" s="132"/>
      <c r="R93" s="320"/>
      <c r="S93" s="321"/>
      <c r="T93" s="81"/>
      <c r="U93" s="82"/>
      <c r="V93" s="83"/>
      <c r="W93" s="83"/>
      <c r="X93" s="83"/>
      <c r="Y93" s="81"/>
      <c r="Z93" s="82"/>
      <c r="AA93" s="83"/>
      <c r="AB93" s="83"/>
      <c r="AC93" s="81"/>
      <c r="AD93" s="82"/>
      <c r="AE93" s="83"/>
      <c r="AF93" s="83"/>
      <c r="AG93" s="81"/>
      <c r="AH93" s="82"/>
      <c r="AI93" s="83"/>
      <c r="AJ93" s="83"/>
      <c r="AK93" s="81"/>
      <c r="AL93" s="82"/>
      <c r="AM93" s="83"/>
      <c r="AN93" s="83"/>
      <c r="AO93" s="81"/>
      <c r="AP93" s="82"/>
      <c r="AQ93" s="83"/>
      <c r="AR93" s="83"/>
      <c r="AS93" s="81"/>
      <c r="AT93" s="82"/>
      <c r="AU93" s="83"/>
      <c r="AV93" s="83"/>
      <c r="AW93" s="83"/>
      <c r="AX93" s="84"/>
      <c r="AY93" s="82"/>
      <c r="AZ93" s="83"/>
      <c r="BA93" s="83"/>
      <c r="BB93" s="83"/>
      <c r="BC93" s="8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40"/>
      <c r="CX93" s="140"/>
      <c r="CY93" s="140"/>
      <c r="CZ93" s="140"/>
      <c r="DA93" s="140"/>
      <c r="DB93" s="140"/>
      <c r="DC93" s="140"/>
      <c r="DD93" s="140"/>
      <c r="DE93" s="140"/>
      <c r="DF93" s="140"/>
      <c r="DG93" s="140"/>
      <c r="DH93" s="140"/>
      <c r="DI93" s="140"/>
      <c r="DJ93" s="140"/>
      <c r="DK93" s="140"/>
      <c r="DL93" s="140"/>
    </row>
    <row r="94" spans="1:116" ht="12.75" customHeight="1" x14ac:dyDescent="0.2">
      <c r="A94" s="56">
        <v>4150</v>
      </c>
      <c r="B94" s="127"/>
      <c r="C94" s="58" t="s">
        <v>81</v>
      </c>
      <c r="D94" s="58"/>
      <c r="E94" s="58"/>
      <c r="F94" s="58"/>
      <c r="G94" s="58"/>
      <c r="H94" s="59"/>
      <c r="I94" s="126"/>
      <c r="J94" s="135"/>
      <c r="K94" s="128"/>
      <c r="L94" s="63"/>
      <c r="M94" s="63">
        <f t="shared" si="11"/>
        <v>0</v>
      </c>
      <c r="N94" s="63">
        <f>L94+M94</f>
        <v>0</v>
      </c>
      <c r="O94" s="64">
        <f>N94/50500000</f>
        <v>0</v>
      </c>
      <c r="P94" s="129"/>
      <c r="Q94" s="130"/>
      <c r="R94" s="318"/>
      <c r="S94" s="319"/>
      <c r="T94" s="67"/>
      <c r="U94" s="68"/>
      <c r="V94" s="69"/>
      <c r="W94" s="69"/>
      <c r="X94" s="88"/>
      <c r="Y94" s="86"/>
      <c r="Z94" s="87"/>
      <c r="AA94" s="88"/>
      <c r="AB94" s="88">
        <f>O94/12</f>
        <v>0</v>
      </c>
      <c r="AC94" s="86">
        <f t="shared" ref="AC94:AM94" si="20">AB94</f>
        <v>0</v>
      </c>
      <c r="AD94" s="86">
        <f t="shared" si="20"/>
        <v>0</v>
      </c>
      <c r="AE94" s="86">
        <f t="shared" si="20"/>
        <v>0</v>
      </c>
      <c r="AF94" s="86">
        <f t="shared" si="20"/>
        <v>0</v>
      </c>
      <c r="AG94" s="86">
        <f t="shared" si="20"/>
        <v>0</v>
      </c>
      <c r="AH94" s="86">
        <f t="shared" si="20"/>
        <v>0</v>
      </c>
      <c r="AI94" s="86">
        <f t="shared" si="20"/>
        <v>0</v>
      </c>
      <c r="AJ94" s="86">
        <f t="shared" si="20"/>
        <v>0</v>
      </c>
      <c r="AK94" s="86">
        <f t="shared" si="20"/>
        <v>0</v>
      </c>
      <c r="AL94" s="86">
        <f t="shared" si="20"/>
        <v>0</v>
      </c>
      <c r="AM94" s="86">
        <f t="shared" si="20"/>
        <v>0</v>
      </c>
      <c r="AN94" s="88"/>
      <c r="AO94" s="86"/>
      <c r="AP94" s="87"/>
      <c r="AQ94" s="88"/>
      <c r="AR94" s="88"/>
      <c r="AS94" s="86"/>
      <c r="AT94" s="87"/>
      <c r="AU94" s="88"/>
      <c r="AV94" s="88"/>
      <c r="AW94" s="88"/>
      <c r="AX94" s="70"/>
      <c r="AY94" s="87"/>
      <c r="AZ94" s="88"/>
      <c r="BA94" s="88"/>
      <c r="BB94" s="88"/>
      <c r="BC94" s="86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34"/>
      <c r="CX94" s="134"/>
      <c r="CY94" s="134"/>
      <c r="CZ94" s="134"/>
      <c r="DA94" s="134"/>
      <c r="DB94" s="134"/>
      <c r="DC94" s="134"/>
      <c r="DD94" s="134"/>
      <c r="DE94" s="134"/>
      <c r="DF94" s="134"/>
      <c r="DG94" s="134"/>
      <c r="DH94" s="134"/>
      <c r="DI94" s="134"/>
      <c r="DJ94" s="134"/>
      <c r="DK94" s="134"/>
      <c r="DL94" s="134"/>
    </row>
    <row r="95" spans="1:116" ht="3.75" customHeight="1" x14ac:dyDescent="0.2">
      <c r="A95" s="71"/>
      <c r="B95" s="136"/>
      <c r="C95" s="73"/>
      <c r="D95" s="73"/>
      <c r="E95" s="73"/>
      <c r="F95" s="73"/>
      <c r="G95" s="73"/>
      <c r="H95" s="74"/>
      <c r="I95" s="137"/>
      <c r="J95" s="138"/>
      <c r="K95" s="139"/>
      <c r="L95" s="78"/>
      <c r="M95" s="63">
        <f t="shared" si="11"/>
        <v>0</v>
      </c>
      <c r="N95" s="63"/>
      <c r="O95" s="89"/>
      <c r="P95" s="131"/>
      <c r="Q95" s="132"/>
      <c r="R95" s="320"/>
      <c r="S95" s="321"/>
      <c r="T95" s="81"/>
      <c r="U95" s="82"/>
      <c r="V95" s="83"/>
      <c r="W95" s="83"/>
      <c r="X95" s="83"/>
      <c r="Y95" s="81"/>
      <c r="Z95" s="82"/>
      <c r="AA95" s="83"/>
      <c r="AB95" s="83"/>
      <c r="AC95" s="81"/>
      <c r="AD95" s="82"/>
      <c r="AE95" s="83"/>
      <c r="AF95" s="83"/>
      <c r="AG95" s="81"/>
      <c r="AH95" s="82"/>
      <c r="AI95" s="83"/>
      <c r="AJ95" s="83"/>
      <c r="AK95" s="81"/>
      <c r="AL95" s="82"/>
      <c r="AM95" s="83"/>
      <c r="AN95" s="83"/>
      <c r="AO95" s="81"/>
      <c r="AP95" s="82"/>
      <c r="AQ95" s="83"/>
      <c r="AR95" s="83"/>
      <c r="AS95" s="81"/>
      <c r="AT95" s="82"/>
      <c r="AU95" s="83"/>
      <c r="AV95" s="83"/>
      <c r="AW95" s="83"/>
      <c r="AX95" s="84"/>
      <c r="AY95" s="82"/>
      <c r="AZ95" s="83"/>
      <c r="BA95" s="83"/>
      <c r="BB95" s="83"/>
      <c r="BC95" s="8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40"/>
      <c r="CX95" s="140"/>
      <c r="CY95" s="140"/>
      <c r="CZ95" s="140"/>
      <c r="DA95" s="140"/>
      <c r="DB95" s="140"/>
      <c r="DC95" s="140"/>
      <c r="DD95" s="140"/>
      <c r="DE95" s="140"/>
      <c r="DF95" s="140"/>
      <c r="DG95" s="140"/>
      <c r="DH95" s="140"/>
      <c r="DI95" s="140"/>
      <c r="DJ95" s="140"/>
      <c r="DK95" s="140"/>
      <c r="DL95" s="140"/>
    </row>
    <row r="96" spans="1:116" ht="12.75" customHeight="1" x14ac:dyDescent="0.2">
      <c r="A96" s="126">
        <v>4200</v>
      </c>
      <c r="B96" s="127"/>
      <c r="C96" s="58" t="s">
        <v>82</v>
      </c>
      <c r="D96" s="58"/>
      <c r="E96" s="58"/>
      <c r="F96" s="58"/>
      <c r="G96" s="58"/>
      <c r="H96" s="159"/>
      <c r="I96" s="126"/>
      <c r="J96" s="135"/>
      <c r="K96" s="128"/>
      <c r="L96" s="63"/>
      <c r="M96" s="63">
        <f t="shared" si="11"/>
        <v>0</v>
      </c>
      <c r="N96" s="63">
        <f>L96+M96</f>
        <v>0</v>
      </c>
      <c r="O96" s="64">
        <f>N96/50500000</f>
        <v>0</v>
      </c>
      <c r="P96" s="129"/>
      <c r="Q96" s="130"/>
      <c r="R96" s="318"/>
      <c r="S96" s="319"/>
      <c r="T96" s="86"/>
      <c r="U96" s="87"/>
      <c r="V96" s="88"/>
      <c r="W96" s="88"/>
      <c r="X96" s="88">
        <f t="shared" ref="X96:Y96" si="21">$O$96/10</f>
        <v>0</v>
      </c>
      <c r="Y96" s="88">
        <f t="shared" si="21"/>
        <v>0</v>
      </c>
      <c r="Z96" s="86">
        <f t="shared" ref="Z96:AG96" si="22">Y96</f>
        <v>0</v>
      </c>
      <c r="AA96" s="86">
        <f t="shared" si="22"/>
        <v>0</v>
      </c>
      <c r="AB96" s="86">
        <f t="shared" si="22"/>
        <v>0</v>
      </c>
      <c r="AC96" s="86">
        <f t="shared" si="22"/>
        <v>0</v>
      </c>
      <c r="AD96" s="86">
        <f t="shared" si="22"/>
        <v>0</v>
      </c>
      <c r="AE96" s="86">
        <f t="shared" si="22"/>
        <v>0</v>
      </c>
      <c r="AF96" s="86">
        <f t="shared" si="22"/>
        <v>0</v>
      </c>
      <c r="AG96" s="86">
        <f t="shared" si="22"/>
        <v>0</v>
      </c>
      <c r="AH96" s="87"/>
      <c r="AI96" s="88"/>
      <c r="AJ96" s="88"/>
      <c r="AK96" s="86"/>
      <c r="AL96" s="87"/>
      <c r="AM96" s="88"/>
      <c r="AN96" s="88"/>
      <c r="AO96" s="86"/>
      <c r="AP96" s="87"/>
      <c r="AQ96" s="88"/>
      <c r="AR96" s="88"/>
      <c r="AS96" s="86"/>
      <c r="AT96" s="87"/>
      <c r="AU96" s="88"/>
      <c r="AV96" s="88"/>
      <c r="AW96" s="88"/>
      <c r="AX96" s="70"/>
      <c r="AY96" s="87"/>
      <c r="AZ96" s="88"/>
      <c r="BA96" s="88"/>
      <c r="BB96" s="88"/>
      <c r="BC96" s="86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34"/>
      <c r="CX96" s="134"/>
      <c r="CY96" s="134"/>
      <c r="CZ96" s="134"/>
      <c r="DA96" s="134"/>
      <c r="DB96" s="134"/>
      <c r="DC96" s="134"/>
      <c r="DD96" s="134"/>
      <c r="DE96" s="134"/>
      <c r="DF96" s="134"/>
      <c r="DG96" s="134"/>
      <c r="DH96" s="134"/>
      <c r="DI96" s="134"/>
      <c r="DJ96" s="134"/>
      <c r="DK96" s="134"/>
      <c r="DL96" s="134"/>
    </row>
    <row r="97" spans="1:116" ht="3.75" customHeight="1" x14ac:dyDescent="0.2">
      <c r="A97" s="71"/>
      <c r="B97" s="136"/>
      <c r="C97" s="73"/>
      <c r="D97" s="73"/>
      <c r="E97" s="73"/>
      <c r="F97" s="73"/>
      <c r="G97" s="73"/>
      <c r="H97" s="74"/>
      <c r="I97" s="137"/>
      <c r="J97" s="138"/>
      <c r="K97" s="139"/>
      <c r="L97" s="78"/>
      <c r="M97" s="63">
        <f t="shared" si="11"/>
        <v>0</v>
      </c>
      <c r="N97" s="63"/>
      <c r="O97" s="89"/>
      <c r="P97" s="131"/>
      <c r="Q97" s="132"/>
      <c r="R97" s="320"/>
      <c r="S97" s="321"/>
      <c r="T97" s="81"/>
      <c r="U97" s="82"/>
      <c r="V97" s="83"/>
      <c r="W97" s="83"/>
      <c r="X97" s="83"/>
      <c r="Y97" s="81"/>
      <c r="Z97" s="82"/>
      <c r="AA97" s="83"/>
      <c r="AB97" s="83"/>
      <c r="AC97" s="81"/>
      <c r="AD97" s="82"/>
      <c r="AE97" s="83"/>
      <c r="AF97" s="83"/>
      <c r="AG97" s="81"/>
      <c r="AH97" s="82"/>
      <c r="AI97" s="83"/>
      <c r="AJ97" s="83"/>
      <c r="AK97" s="81"/>
      <c r="AL97" s="82"/>
      <c r="AM97" s="83"/>
      <c r="AN97" s="83"/>
      <c r="AO97" s="81"/>
      <c r="AP97" s="82"/>
      <c r="AQ97" s="83"/>
      <c r="AR97" s="83"/>
      <c r="AS97" s="81"/>
      <c r="AT97" s="82"/>
      <c r="AU97" s="83"/>
      <c r="AV97" s="83"/>
      <c r="AW97" s="83"/>
      <c r="AX97" s="84"/>
      <c r="AY97" s="82"/>
      <c r="AZ97" s="83"/>
      <c r="BA97" s="83"/>
      <c r="BB97" s="83"/>
      <c r="BC97" s="8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40"/>
      <c r="CX97" s="140"/>
      <c r="CY97" s="140"/>
      <c r="CZ97" s="140"/>
      <c r="DA97" s="140"/>
      <c r="DB97" s="140"/>
      <c r="DC97" s="140"/>
      <c r="DD97" s="140"/>
      <c r="DE97" s="140"/>
      <c r="DF97" s="140"/>
      <c r="DG97" s="140"/>
      <c r="DH97" s="140"/>
      <c r="DI97" s="140"/>
      <c r="DJ97" s="140"/>
      <c r="DK97" s="140"/>
      <c r="DL97" s="140"/>
    </row>
    <row r="98" spans="1:116" ht="12.75" customHeight="1" x14ac:dyDescent="0.2">
      <c r="A98" s="126">
        <v>4300</v>
      </c>
      <c r="B98" s="127"/>
      <c r="C98" s="58" t="s">
        <v>83</v>
      </c>
      <c r="D98" s="58"/>
      <c r="E98" s="58"/>
      <c r="F98" s="58"/>
      <c r="G98" s="58"/>
      <c r="H98" s="160"/>
      <c r="I98" s="126"/>
      <c r="J98" s="135"/>
      <c r="K98" s="128"/>
      <c r="L98" s="63"/>
      <c r="M98" s="63">
        <f t="shared" si="11"/>
        <v>0</v>
      </c>
      <c r="N98" s="63">
        <f>L98+M98</f>
        <v>0</v>
      </c>
      <c r="O98" s="64">
        <f>N98/50500000</f>
        <v>0</v>
      </c>
      <c r="P98" s="129"/>
      <c r="Q98" s="130"/>
      <c r="R98" s="318"/>
      <c r="S98" s="319"/>
      <c r="T98" s="86"/>
      <c r="U98" s="87"/>
      <c r="V98" s="88"/>
      <c r="W98" s="88"/>
      <c r="X98" s="88">
        <f>O98/6</f>
        <v>0</v>
      </c>
      <c r="Y98" s="86">
        <f t="shared" ref="Y98:AC98" si="23">X98</f>
        <v>0</v>
      </c>
      <c r="Z98" s="86">
        <f t="shared" si="23"/>
        <v>0</v>
      </c>
      <c r="AA98" s="86">
        <f t="shared" si="23"/>
        <v>0</v>
      </c>
      <c r="AB98" s="86">
        <f t="shared" si="23"/>
        <v>0</v>
      </c>
      <c r="AC98" s="86">
        <f t="shared" si="23"/>
        <v>0</v>
      </c>
      <c r="AD98" s="86"/>
      <c r="AE98" s="86"/>
      <c r="AF98" s="88"/>
      <c r="AG98" s="86"/>
      <c r="AH98" s="87"/>
      <c r="AI98" s="88"/>
      <c r="AJ98" s="88"/>
      <c r="AK98" s="86"/>
      <c r="AL98" s="87"/>
      <c r="AM98" s="88"/>
      <c r="AN98" s="88"/>
      <c r="AO98" s="86"/>
      <c r="AP98" s="87"/>
      <c r="AQ98" s="88"/>
      <c r="AR98" s="88"/>
      <c r="AS98" s="86"/>
      <c r="AT98" s="87"/>
      <c r="AU98" s="88"/>
      <c r="AV98" s="88"/>
      <c r="AW98" s="88"/>
      <c r="AX98" s="70"/>
      <c r="AY98" s="87"/>
      <c r="AZ98" s="88"/>
      <c r="BA98" s="88"/>
      <c r="BB98" s="88"/>
      <c r="BC98" s="86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34"/>
      <c r="CX98" s="134"/>
      <c r="CY98" s="134"/>
      <c r="CZ98" s="134"/>
      <c r="DA98" s="134"/>
      <c r="DB98" s="134"/>
      <c r="DC98" s="134"/>
      <c r="DD98" s="134"/>
      <c r="DE98" s="134"/>
      <c r="DF98" s="134"/>
      <c r="DG98" s="134"/>
      <c r="DH98" s="134"/>
      <c r="DI98" s="134"/>
      <c r="DJ98" s="134"/>
      <c r="DK98" s="134"/>
      <c r="DL98" s="134"/>
    </row>
    <row r="99" spans="1:116" ht="3.75" customHeight="1" x14ac:dyDescent="0.2">
      <c r="A99" s="71"/>
      <c r="B99" s="136"/>
      <c r="C99" s="73"/>
      <c r="D99" s="73"/>
      <c r="E99" s="73"/>
      <c r="F99" s="73"/>
      <c r="G99" s="73"/>
      <c r="H99" s="74"/>
      <c r="I99" s="137"/>
      <c r="J99" s="76"/>
      <c r="K99" s="139"/>
      <c r="L99" s="78"/>
      <c r="M99" s="63">
        <f t="shared" si="11"/>
        <v>0</v>
      </c>
      <c r="N99" s="63"/>
      <c r="O99" s="89"/>
      <c r="P99" s="131"/>
      <c r="Q99" s="132"/>
      <c r="R99" s="320"/>
      <c r="S99" s="321"/>
      <c r="T99" s="81"/>
      <c r="U99" s="82"/>
      <c r="V99" s="83"/>
      <c r="W99" s="83"/>
      <c r="X99" s="83"/>
      <c r="Y99" s="81"/>
      <c r="Z99" s="82"/>
      <c r="AA99" s="83"/>
      <c r="AB99" s="83"/>
      <c r="AC99" s="81"/>
      <c r="AD99" s="82"/>
      <c r="AE99" s="83"/>
      <c r="AF99" s="83"/>
      <c r="AG99" s="81"/>
      <c r="AH99" s="82"/>
      <c r="AI99" s="83"/>
      <c r="AJ99" s="83"/>
      <c r="AK99" s="81"/>
      <c r="AL99" s="82"/>
      <c r="AM99" s="83"/>
      <c r="AN99" s="83"/>
      <c r="AO99" s="81"/>
      <c r="AP99" s="82"/>
      <c r="AQ99" s="83"/>
      <c r="AR99" s="83"/>
      <c r="AS99" s="81"/>
      <c r="AT99" s="82"/>
      <c r="AU99" s="83"/>
      <c r="AV99" s="83"/>
      <c r="AW99" s="83"/>
      <c r="AX99" s="84"/>
      <c r="AY99" s="82"/>
      <c r="AZ99" s="83"/>
      <c r="BA99" s="83"/>
      <c r="BB99" s="83"/>
      <c r="BC99" s="8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57"/>
      <c r="CX99" s="157"/>
      <c r="CY99" s="157"/>
      <c r="CZ99" s="157"/>
      <c r="DA99" s="157"/>
      <c r="DB99" s="157"/>
      <c r="DC99" s="157"/>
      <c r="DD99" s="157"/>
      <c r="DE99" s="157"/>
      <c r="DF99" s="157"/>
      <c r="DG99" s="157"/>
      <c r="DH99" s="157"/>
      <c r="DI99" s="157"/>
      <c r="DJ99" s="157"/>
      <c r="DK99" s="157"/>
      <c r="DL99" s="157"/>
    </row>
    <row r="100" spans="1:116" ht="12.75" customHeight="1" x14ac:dyDescent="0.2">
      <c r="A100" s="24">
        <v>5000</v>
      </c>
      <c r="B100" s="25" t="s">
        <v>84</v>
      </c>
      <c r="C100" s="94"/>
      <c r="D100" s="94"/>
      <c r="E100" s="94"/>
      <c r="F100" s="94"/>
      <c r="G100" s="94"/>
      <c r="H100" s="95"/>
      <c r="I100" s="28"/>
      <c r="J100" s="29"/>
      <c r="K100" s="30"/>
      <c r="L100" s="31"/>
      <c r="M100" s="31"/>
      <c r="N100" s="33"/>
      <c r="O100" s="33"/>
      <c r="P100" s="98"/>
      <c r="Q100" s="99"/>
      <c r="R100" s="327"/>
      <c r="S100" s="315"/>
      <c r="T100" s="100"/>
      <c r="U100" s="101"/>
      <c r="V100" s="102"/>
      <c r="W100" s="102"/>
      <c r="X100" s="102"/>
      <c r="Y100" s="100"/>
      <c r="Z100" s="101"/>
      <c r="AA100" s="102"/>
      <c r="AB100" s="102"/>
      <c r="AC100" s="100"/>
      <c r="AD100" s="101"/>
      <c r="AE100" s="102"/>
      <c r="AF100" s="102"/>
      <c r="AG100" s="100"/>
      <c r="AH100" s="101"/>
      <c r="AI100" s="102"/>
      <c r="AJ100" s="102"/>
      <c r="AK100" s="100"/>
      <c r="AL100" s="101"/>
      <c r="AM100" s="102"/>
      <c r="AN100" s="102"/>
      <c r="AO100" s="100"/>
      <c r="AP100" s="101"/>
      <c r="AQ100" s="102"/>
      <c r="AR100" s="102"/>
      <c r="AS100" s="100"/>
      <c r="AT100" s="101"/>
      <c r="AU100" s="102"/>
      <c r="AV100" s="102"/>
      <c r="AW100" s="102"/>
      <c r="AX100" s="103"/>
      <c r="AY100" s="101"/>
      <c r="AZ100" s="102"/>
      <c r="BA100" s="102"/>
      <c r="BB100" s="102"/>
      <c r="BC100" s="100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</row>
    <row r="101" spans="1:116" ht="3.75" customHeight="1" x14ac:dyDescent="0.2">
      <c r="A101" s="104"/>
      <c r="B101" s="121"/>
      <c r="C101" s="106"/>
      <c r="D101" s="106"/>
      <c r="E101" s="106"/>
      <c r="F101" s="106"/>
      <c r="G101" s="106"/>
      <c r="H101" s="107"/>
      <c r="I101" s="122"/>
      <c r="J101" s="109"/>
      <c r="K101" s="123"/>
      <c r="L101" s="111"/>
      <c r="M101" s="63">
        <f t="shared" ref="M101:M107" si="24">L101*4260501/50500000</f>
        <v>0</v>
      </c>
      <c r="N101" s="63"/>
      <c r="O101" s="112"/>
      <c r="P101" s="124"/>
      <c r="Q101" s="125"/>
      <c r="R101" s="324"/>
      <c r="S101" s="317"/>
      <c r="T101" s="115"/>
      <c r="U101" s="116"/>
      <c r="V101" s="117"/>
      <c r="W101" s="117"/>
      <c r="X101" s="117"/>
      <c r="Y101" s="115"/>
      <c r="Z101" s="116"/>
      <c r="AA101" s="117"/>
      <c r="AB101" s="117"/>
      <c r="AC101" s="115"/>
      <c r="AD101" s="116"/>
      <c r="AE101" s="117"/>
      <c r="AF101" s="117"/>
      <c r="AG101" s="115"/>
      <c r="AH101" s="116"/>
      <c r="AI101" s="117"/>
      <c r="AJ101" s="117"/>
      <c r="AK101" s="115"/>
      <c r="AL101" s="116"/>
      <c r="AM101" s="117"/>
      <c r="AN101" s="117"/>
      <c r="AO101" s="115"/>
      <c r="AP101" s="116"/>
      <c r="AQ101" s="117"/>
      <c r="AR101" s="117"/>
      <c r="AS101" s="115"/>
      <c r="AT101" s="116"/>
      <c r="AU101" s="117"/>
      <c r="AV101" s="117"/>
      <c r="AW101" s="117"/>
      <c r="AX101" s="118"/>
      <c r="AY101" s="116"/>
      <c r="AZ101" s="117"/>
      <c r="BA101" s="117"/>
      <c r="BB101" s="117"/>
      <c r="BC101" s="115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</row>
    <row r="102" spans="1:116" ht="12.75" customHeight="1" x14ac:dyDescent="0.2">
      <c r="A102" s="126">
        <v>5100</v>
      </c>
      <c r="B102" s="127"/>
      <c r="C102" s="58" t="s">
        <v>85</v>
      </c>
      <c r="D102" s="58"/>
      <c r="E102" s="58"/>
      <c r="F102" s="58"/>
      <c r="G102" s="58"/>
      <c r="H102" s="59"/>
      <c r="I102" s="126"/>
      <c r="J102" s="161"/>
      <c r="K102" s="128"/>
      <c r="L102" s="63"/>
      <c r="M102" s="63">
        <f t="shared" si="24"/>
        <v>0</v>
      </c>
      <c r="N102" s="63">
        <f>L102+M102</f>
        <v>0</v>
      </c>
      <c r="O102" s="64">
        <f>N102/50500000</f>
        <v>0</v>
      </c>
      <c r="P102" s="129"/>
      <c r="Q102" s="130"/>
      <c r="R102" s="318"/>
      <c r="S102" s="319"/>
      <c r="T102" s="86"/>
      <c r="U102" s="87"/>
      <c r="V102" s="88"/>
      <c r="W102" s="88"/>
      <c r="X102" s="88"/>
      <c r="Y102" s="86"/>
      <c r="Z102" s="87"/>
      <c r="AA102" s="88"/>
      <c r="AB102" s="88"/>
      <c r="AC102" s="86"/>
      <c r="AD102" s="87"/>
      <c r="AE102" s="88"/>
      <c r="AF102" s="88"/>
      <c r="AG102" s="86"/>
      <c r="AH102" s="87"/>
      <c r="AI102" s="88"/>
      <c r="AJ102" s="88"/>
      <c r="AK102" s="86"/>
      <c r="AL102" s="87"/>
      <c r="AM102" s="88"/>
      <c r="AN102" s="88">
        <f>O102/6</f>
        <v>0</v>
      </c>
      <c r="AO102" s="86">
        <f t="shared" ref="AO102:AS102" si="25">AN102</f>
        <v>0</v>
      </c>
      <c r="AP102" s="86">
        <f t="shared" si="25"/>
        <v>0</v>
      </c>
      <c r="AQ102" s="86">
        <f t="shared" si="25"/>
        <v>0</v>
      </c>
      <c r="AR102" s="86">
        <f t="shared" si="25"/>
        <v>0</v>
      </c>
      <c r="AS102" s="86">
        <f t="shared" si="25"/>
        <v>0</v>
      </c>
      <c r="AT102" s="87"/>
      <c r="AU102" s="88"/>
      <c r="AV102" s="88"/>
      <c r="AW102" s="88"/>
      <c r="AX102" s="70"/>
      <c r="AY102" s="87"/>
      <c r="AZ102" s="88"/>
      <c r="BA102" s="88"/>
      <c r="BB102" s="88"/>
      <c r="BC102" s="86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</row>
    <row r="103" spans="1:116" ht="3.75" customHeight="1" x14ac:dyDescent="0.2">
      <c r="A103" s="137"/>
      <c r="B103" s="121"/>
      <c r="C103" s="106"/>
      <c r="D103" s="106"/>
      <c r="E103" s="106"/>
      <c r="F103" s="106"/>
      <c r="G103" s="106"/>
      <c r="H103" s="107"/>
      <c r="I103" s="122"/>
      <c r="J103" s="109"/>
      <c r="K103" s="123"/>
      <c r="L103" s="78"/>
      <c r="M103" s="63">
        <f t="shared" si="24"/>
        <v>0</v>
      </c>
      <c r="N103" s="63"/>
      <c r="O103" s="89"/>
      <c r="P103" s="131"/>
      <c r="Q103" s="132"/>
      <c r="R103" s="320"/>
      <c r="S103" s="321"/>
      <c r="T103" s="81"/>
      <c r="U103" s="82"/>
      <c r="V103" s="83"/>
      <c r="W103" s="83"/>
      <c r="X103" s="83"/>
      <c r="Y103" s="81"/>
      <c r="Z103" s="82"/>
      <c r="AA103" s="83"/>
      <c r="AB103" s="83"/>
      <c r="AC103" s="81"/>
      <c r="AD103" s="82"/>
      <c r="AE103" s="83"/>
      <c r="AF103" s="83"/>
      <c r="AG103" s="81"/>
      <c r="AH103" s="82"/>
      <c r="AI103" s="83"/>
      <c r="AJ103" s="83"/>
      <c r="AK103" s="81"/>
      <c r="AL103" s="82"/>
      <c r="AM103" s="83"/>
      <c r="AN103" s="83"/>
      <c r="AO103" s="81"/>
      <c r="AP103" s="82"/>
      <c r="AQ103" s="83"/>
      <c r="AR103" s="83"/>
      <c r="AS103" s="81"/>
      <c r="AT103" s="82"/>
      <c r="AU103" s="83"/>
      <c r="AV103" s="83"/>
      <c r="AW103" s="83"/>
      <c r="AX103" s="84"/>
      <c r="AY103" s="82"/>
      <c r="AZ103" s="83"/>
      <c r="BA103" s="83"/>
      <c r="BB103" s="83"/>
      <c r="BC103" s="8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</row>
    <row r="104" spans="1:116" ht="12.75" customHeight="1" x14ac:dyDescent="0.2">
      <c r="A104" s="126">
        <v>5200</v>
      </c>
      <c r="B104" s="127"/>
      <c r="C104" s="58" t="s">
        <v>86</v>
      </c>
      <c r="D104" s="58"/>
      <c r="E104" s="58"/>
      <c r="F104" s="58"/>
      <c r="G104" s="58"/>
      <c r="H104" s="59"/>
      <c r="I104" s="126"/>
      <c r="J104" s="161"/>
      <c r="K104" s="128"/>
      <c r="L104" s="63"/>
      <c r="M104" s="63">
        <f t="shared" si="24"/>
        <v>0</v>
      </c>
      <c r="N104" s="63">
        <f>L104+M104</f>
        <v>0</v>
      </c>
      <c r="O104" s="64">
        <f>N104/50500000</f>
        <v>0</v>
      </c>
      <c r="P104" s="129"/>
      <c r="Q104" s="130"/>
      <c r="R104" s="318"/>
      <c r="S104" s="319"/>
      <c r="T104" s="86"/>
      <c r="U104" s="87"/>
      <c r="V104" s="88"/>
      <c r="W104" s="88"/>
      <c r="X104" s="88"/>
      <c r="Y104" s="86"/>
      <c r="Z104" s="87"/>
      <c r="AA104" s="88"/>
      <c r="AB104" s="88"/>
      <c r="AC104" s="86"/>
      <c r="AD104" s="87"/>
      <c r="AE104" s="88"/>
      <c r="AF104" s="88"/>
      <c r="AG104" s="86"/>
      <c r="AH104" s="87"/>
      <c r="AI104" s="88"/>
      <c r="AJ104" s="88"/>
      <c r="AK104" s="86"/>
      <c r="AL104" s="87">
        <f>O104/4</f>
        <v>0</v>
      </c>
      <c r="AM104" s="88">
        <f t="shared" ref="AM104:AO104" si="26">AL104</f>
        <v>0</v>
      </c>
      <c r="AN104" s="88">
        <f t="shared" si="26"/>
        <v>0</v>
      </c>
      <c r="AO104" s="88">
        <f t="shared" si="26"/>
        <v>0</v>
      </c>
      <c r="AP104" s="87"/>
      <c r="AQ104" s="88"/>
      <c r="AR104" s="88"/>
      <c r="AS104" s="86"/>
      <c r="AT104" s="87"/>
      <c r="AU104" s="88"/>
      <c r="AV104" s="88"/>
      <c r="AW104" s="88"/>
      <c r="AX104" s="70"/>
      <c r="AY104" s="87"/>
      <c r="AZ104" s="88"/>
      <c r="BA104" s="88"/>
      <c r="BB104" s="88"/>
      <c r="BC104" s="86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</row>
    <row r="105" spans="1:116" ht="3.75" customHeight="1" x14ac:dyDescent="0.2">
      <c r="A105" s="71"/>
      <c r="B105" s="121"/>
      <c r="C105" s="106"/>
      <c r="D105" s="106"/>
      <c r="E105" s="106"/>
      <c r="F105" s="106"/>
      <c r="G105" s="106"/>
      <c r="H105" s="107"/>
      <c r="I105" s="122"/>
      <c r="J105" s="109"/>
      <c r="K105" s="123"/>
      <c r="L105" s="78"/>
      <c r="M105" s="111">
        <f t="shared" si="24"/>
        <v>0</v>
      </c>
      <c r="N105" s="111"/>
      <c r="O105" s="89"/>
      <c r="P105" s="131"/>
      <c r="Q105" s="132"/>
      <c r="R105" s="320"/>
      <c r="S105" s="321"/>
      <c r="T105" s="81"/>
      <c r="U105" s="82"/>
      <c r="V105" s="83"/>
      <c r="W105" s="83"/>
      <c r="X105" s="83"/>
      <c r="Y105" s="81"/>
      <c r="Z105" s="82"/>
      <c r="AA105" s="83"/>
      <c r="AB105" s="83"/>
      <c r="AC105" s="81"/>
      <c r="AD105" s="82"/>
      <c r="AE105" s="83"/>
      <c r="AF105" s="83"/>
      <c r="AG105" s="81"/>
      <c r="AH105" s="82"/>
      <c r="AI105" s="83"/>
      <c r="AJ105" s="83"/>
      <c r="AK105" s="81"/>
      <c r="AL105" s="82"/>
      <c r="AM105" s="83"/>
      <c r="AN105" s="83"/>
      <c r="AO105" s="81"/>
      <c r="AP105" s="82"/>
      <c r="AQ105" s="83"/>
      <c r="AR105" s="83"/>
      <c r="AS105" s="81"/>
      <c r="AT105" s="82"/>
      <c r="AU105" s="83"/>
      <c r="AV105" s="83"/>
      <c r="AW105" s="83"/>
      <c r="AX105" s="84"/>
      <c r="AY105" s="82"/>
      <c r="AZ105" s="83"/>
      <c r="BA105" s="83"/>
      <c r="BB105" s="83"/>
      <c r="BC105" s="8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</row>
    <row r="106" spans="1:116" ht="12.75" customHeight="1" x14ac:dyDescent="0.2">
      <c r="A106" s="24">
        <v>6000</v>
      </c>
      <c r="B106" s="25" t="s">
        <v>87</v>
      </c>
      <c r="C106" s="94"/>
      <c r="D106" s="94"/>
      <c r="E106" s="94"/>
      <c r="F106" s="94"/>
      <c r="G106" s="94"/>
      <c r="H106" s="95"/>
      <c r="I106" s="28"/>
      <c r="J106" s="29">
        <v>216.85</v>
      </c>
      <c r="K106" s="30" t="s">
        <v>88</v>
      </c>
      <c r="L106" s="31" t="e">
        <f>'[1]Priced BOQ'!K91</f>
        <v>#REF!</v>
      </c>
      <c r="M106" s="31" t="e">
        <f t="shared" si="24"/>
        <v>#REF!</v>
      </c>
      <c r="N106" s="31" t="e">
        <f>L106+M106</f>
        <v>#REF!</v>
      </c>
      <c r="O106" s="162" t="e">
        <f>N106/50500000</f>
        <v>#REF!</v>
      </c>
      <c r="P106" s="98"/>
      <c r="Q106" s="99"/>
      <c r="R106" s="323"/>
      <c r="S106" s="315"/>
      <c r="T106" s="100"/>
      <c r="U106" s="101"/>
      <c r="V106" s="102"/>
      <c r="W106" s="102"/>
      <c r="X106" s="102"/>
      <c r="Y106" s="100"/>
      <c r="Z106" s="101"/>
      <c r="AA106" s="102"/>
      <c r="AB106" s="102"/>
      <c r="AC106" s="100"/>
      <c r="AD106" s="101"/>
      <c r="AE106" s="102"/>
      <c r="AF106" s="102"/>
      <c r="AG106" s="100"/>
      <c r="AH106" s="101"/>
      <c r="AI106" s="102"/>
      <c r="AJ106" s="102"/>
      <c r="AK106" s="100"/>
      <c r="AL106" s="101" t="e">
        <f>O106/8</f>
        <v>#REF!</v>
      </c>
      <c r="AM106" s="102" t="e">
        <f t="shared" ref="AM106:AS106" si="27">AL106</f>
        <v>#REF!</v>
      </c>
      <c r="AN106" s="102" t="e">
        <f t="shared" si="27"/>
        <v>#REF!</v>
      </c>
      <c r="AO106" s="102" t="e">
        <f t="shared" si="27"/>
        <v>#REF!</v>
      </c>
      <c r="AP106" s="102" t="e">
        <f t="shared" si="27"/>
        <v>#REF!</v>
      </c>
      <c r="AQ106" s="102" t="e">
        <f t="shared" si="27"/>
        <v>#REF!</v>
      </c>
      <c r="AR106" s="102" t="e">
        <f t="shared" si="27"/>
        <v>#REF!</v>
      </c>
      <c r="AS106" s="102" t="e">
        <f t="shared" si="27"/>
        <v>#REF!</v>
      </c>
      <c r="AT106" s="101"/>
      <c r="AU106" s="102"/>
      <c r="AV106" s="102"/>
      <c r="AW106" s="102"/>
      <c r="AX106" s="103"/>
      <c r="AY106" s="101"/>
      <c r="AZ106" s="102"/>
      <c r="BA106" s="102"/>
      <c r="BB106" s="102"/>
      <c r="BC106" s="100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</row>
    <row r="107" spans="1:116" ht="3.75" customHeight="1" x14ac:dyDescent="0.2">
      <c r="A107" s="104"/>
      <c r="B107" s="121"/>
      <c r="C107" s="106"/>
      <c r="D107" s="106"/>
      <c r="E107" s="106"/>
      <c r="F107" s="106"/>
      <c r="G107" s="106"/>
      <c r="H107" s="107"/>
      <c r="I107" s="122"/>
      <c r="J107" s="109"/>
      <c r="K107" s="123"/>
      <c r="L107" s="111"/>
      <c r="M107" s="63">
        <f t="shared" si="24"/>
        <v>0</v>
      </c>
      <c r="N107" s="63"/>
      <c r="O107" s="112"/>
      <c r="P107" s="124"/>
      <c r="Q107" s="125"/>
      <c r="R107" s="324"/>
      <c r="S107" s="317"/>
      <c r="T107" s="115"/>
      <c r="U107" s="116"/>
      <c r="V107" s="117"/>
      <c r="W107" s="117"/>
      <c r="X107" s="117"/>
      <c r="Y107" s="115"/>
      <c r="Z107" s="116"/>
      <c r="AA107" s="117"/>
      <c r="AB107" s="117"/>
      <c r="AC107" s="115"/>
      <c r="AD107" s="116"/>
      <c r="AE107" s="117"/>
      <c r="AF107" s="117"/>
      <c r="AG107" s="115"/>
      <c r="AH107" s="116"/>
      <c r="AI107" s="117"/>
      <c r="AJ107" s="117"/>
      <c r="AK107" s="115"/>
      <c r="AL107" s="116"/>
      <c r="AM107" s="117"/>
      <c r="AN107" s="117"/>
      <c r="AO107" s="115"/>
      <c r="AP107" s="116"/>
      <c r="AQ107" s="117"/>
      <c r="AR107" s="117"/>
      <c r="AS107" s="115"/>
      <c r="AT107" s="116"/>
      <c r="AU107" s="117"/>
      <c r="AV107" s="117"/>
      <c r="AW107" s="117"/>
      <c r="AX107" s="118"/>
      <c r="AY107" s="116"/>
      <c r="AZ107" s="117"/>
      <c r="BA107" s="117"/>
      <c r="BB107" s="117"/>
      <c r="BC107" s="115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</row>
    <row r="108" spans="1:116" ht="12.75" customHeight="1" x14ac:dyDescent="0.2">
      <c r="A108" s="24">
        <v>7000</v>
      </c>
      <c r="B108" s="25" t="s">
        <v>89</v>
      </c>
      <c r="C108" s="94"/>
      <c r="D108" s="94"/>
      <c r="E108" s="94"/>
      <c r="F108" s="94"/>
      <c r="G108" s="94"/>
      <c r="H108" s="95"/>
      <c r="I108" s="28"/>
      <c r="J108" s="29"/>
      <c r="K108" s="30"/>
      <c r="L108" s="31"/>
      <c r="M108" s="31"/>
      <c r="N108" s="33"/>
      <c r="O108" s="33"/>
      <c r="P108" s="98"/>
      <c r="Q108" s="99"/>
      <c r="R108" s="327"/>
      <c r="S108" s="315"/>
      <c r="T108" s="100"/>
      <c r="U108" s="101"/>
      <c r="V108" s="102"/>
      <c r="W108" s="102"/>
      <c r="X108" s="102"/>
      <c r="Y108" s="100"/>
      <c r="Z108" s="101"/>
      <c r="AA108" s="102"/>
      <c r="AB108" s="102"/>
      <c r="AC108" s="100"/>
      <c r="AD108" s="101"/>
      <c r="AE108" s="102"/>
      <c r="AF108" s="102"/>
      <c r="AG108" s="100"/>
      <c r="AH108" s="101"/>
      <c r="AI108" s="102"/>
      <c r="AJ108" s="102"/>
      <c r="AK108" s="100"/>
      <c r="AL108" s="101"/>
      <c r="AM108" s="102"/>
      <c r="AN108" s="102"/>
      <c r="AO108" s="100"/>
      <c r="AP108" s="101"/>
      <c r="AQ108" s="102"/>
      <c r="AR108" s="102"/>
      <c r="AS108" s="100"/>
      <c r="AT108" s="101"/>
      <c r="AU108" s="102"/>
      <c r="AV108" s="102"/>
      <c r="AW108" s="102"/>
      <c r="AX108" s="103"/>
      <c r="AY108" s="101"/>
      <c r="AZ108" s="102"/>
      <c r="BA108" s="102"/>
      <c r="BB108" s="102"/>
      <c r="BC108" s="100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</row>
    <row r="109" spans="1:116" ht="3.75" customHeight="1" x14ac:dyDescent="0.2">
      <c r="A109" s="104"/>
      <c r="B109" s="121"/>
      <c r="C109" s="106"/>
      <c r="D109" s="106"/>
      <c r="E109" s="106"/>
      <c r="F109" s="106"/>
      <c r="G109" s="106"/>
      <c r="H109" s="107"/>
      <c r="I109" s="122"/>
      <c r="J109" s="109"/>
      <c r="K109" s="123"/>
      <c r="L109" s="111"/>
      <c r="M109" s="63">
        <f t="shared" ref="M109:M115" si="28">L109*4260501/50500000</f>
        <v>0</v>
      </c>
      <c r="N109" s="63"/>
      <c r="O109" s="112"/>
      <c r="P109" s="124"/>
      <c r="Q109" s="125"/>
      <c r="R109" s="324"/>
      <c r="S109" s="317"/>
      <c r="T109" s="115"/>
      <c r="U109" s="116"/>
      <c r="V109" s="117"/>
      <c r="W109" s="117"/>
      <c r="X109" s="117"/>
      <c r="Y109" s="115"/>
      <c r="Z109" s="116"/>
      <c r="AA109" s="117"/>
      <c r="AB109" s="117"/>
      <c r="AC109" s="115"/>
      <c r="AD109" s="116"/>
      <c r="AE109" s="117"/>
      <c r="AF109" s="117"/>
      <c r="AG109" s="115"/>
      <c r="AH109" s="116"/>
      <c r="AI109" s="117"/>
      <c r="AJ109" s="117"/>
      <c r="AK109" s="115"/>
      <c r="AL109" s="116"/>
      <c r="AM109" s="117"/>
      <c r="AN109" s="117"/>
      <c r="AO109" s="115"/>
      <c r="AP109" s="116"/>
      <c r="AQ109" s="117"/>
      <c r="AR109" s="117"/>
      <c r="AS109" s="115"/>
      <c r="AT109" s="116"/>
      <c r="AU109" s="117"/>
      <c r="AV109" s="117"/>
      <c r="AW109" s="117"/>
      <c r="AX109" s="118"/>
      <c r="AY109" s="116"/>
      <c r="AZ109" s="117"/>
      <c r="BA109" s="117"/>
      <c r="BB109" s="117"/>
      <c r="BC109" s="115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</row>
    <row r="110" spans="1:116" ht="12.75" customHeight="1" x14ac:dyDescent="0.2">
      <c r="A110" s="126">
        <v>7100</v>
      </c>
      <c r="B110" s="127"/>
      <c r="C110" s="58" t="s">
        <v>90</v>
      </c>
      <c r="D110" s="58"/>
      <c r="E110" s="58"/>
      <c r="F110" s="58"/>
      <c r="G110" s="58"/>
      <c r="H110" s="59"/>
      <c r="I110" s="126"/>
      <c r="J110" s="161"/>
      <c r="K110" s="128" t="s">
        <v>91</v>
      </c>
      <c r="L110" s="63"/>
      <c r="M110" s="63">
        <f t="shared" si="28"/>
        <v>0</v>
      </c>
      <c r="N110" s="63">
        <f>L110+M110</f>
        <v>0</v>
      </c>
      <c r="O110" s="64">
        <f>N110/50500000</f>
        <v>0</v>
      </c>
      <c r="P110" s="129"/>
      <c r="Q110" s="130"/>
      <c r="R110" s="318"/>
      <c r="S110" s="319"/>
      <c r="T110" s="86"/>
      <c r="U110" s="87"/>
      <c r="V110" s="88"/>
      <c r="W110" s="88"/>
      <c r="X110" s="88"/>
      <c r="Y110" s="86"/>
      <c r="Z110" s="87"/>
      <c r="AA110" s="88"/>
      <c r="AB110" s="88"/>
      <c r="AC110" s="86"/>
      <c r="AD110" s="87">
        <f>O110/14</f>
        <v>0</v>
      </c>
      <c r="AE110" s="88">
        <f t="shared" ref="AE110:AQ110" si="29">AD110</f>
        <v>0</v>
      </c>
      <c r="AF110" s="88">
        <f t="shared" si="29"/>
        <v>0</v>
      </c>
      <c r="AG110" s="88">
        <f t="shared" si="29"/>
        <v>0</v>
      </c>
      <c r="AH110" s="88">
        <f t="shared" si="29"/>
        <v>0</v>
      </c>
      <c r="AI110" s="88">
        <f t="shared" si="29"/>
        <v>0</v>
      </c>
      <c r="AJ110" s="88">
        <f t="shared" si="29"/>
        <v>0</v>
      </c>
      <c r="AK110" s="88">
        <f t="shared" si="29"/>
        <v>0</v>
      </c>
      <c r="AL110" s="88">
        <f t="shared" si="29"/>
        <v>0</v>
      </c>
      <c r="AM110" s="88">
        <f t="shared" si="29"/>
        <v>0</v>
      </c>
      <c r="AN110" s="88">
        <f t="shared" si="29"/>
        <v>0</v>
      </c>
      <c r="AO110" s="88">
        <f t="shared" si="29"/>
        <v>0</v>
      </c>
      <c r="AP110" s="88">
        <f t="shared" si="29"/>
        <v>0</v>
      </c>
      <c r="AQ110" s="88">
        <f t="shared" si="29"/>
        <v>0</v>
      </c>
      <c r="AR110" s="88"/>
      <c r="AS110" s="86"/>
      <c r="AT110" s="87"/>
      <c r="AU110" s="88"/>
      <c r="AV110" s="88"/>
      <c r="AW110" s="88"/>
      <c r="AX110" s="86"/>
      <c r="AY110" s="87"/>
      <c r="AZ110" s="88"/>
      <c r="BA110" s="88"/>
      <c r="BB110" s="88"/>
      <c r="BC110" s="86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</row>
    <row r="111" spans="1:116" ht="3.75" customHeight="1" x14ac:dyDescent="0.2">
      <c r="A111" s="104"/>
      <c r="B111" s="121"/>
      <c r="C111" s="106"/>
      <c r="D111" s="106"/>
      <c r="E111" s="106"/>
      <c r="F111" s="106"/>
      <c r="G111" s="106"/>
      <c r="H111" s="107"/>
      <c r="I111" s="122"/>
      <c r="J111" s="109"/>
      <c r="K111" s="123"/>
      <c r="L111" s="78"/>
      <c r="M111" s="63">
        <f t="shared" si="28"/>
        <v>0</v>
      </c>
      <c r="N111" s="63"/>
      <c r="O111" s="89"/>
      <c r="P111" s="131"/>
      <c r="Q111" s="132"/>
      <c r="R111" s="320"/>
      <c r="S111" s="321"/>
      <c r="T111" s="81"/>
      <c r="U111" s="82"/>
      <c r="V111" s="83"/>
      <c r="W111" s="83"/>
      <c r="X111" s="83"/>
      <c r="Y111" s="81"/>
      <c r="Z111" s="82"/>
      <c r="AA111" s="83"/>
      <c r="AB111" s="83"/>
      <c r="AC111" s="81"/>
      <c r="AD111" s="82"/>
      <c r="AE111" s="83"/>
      <c r="AF111" s="83"/>
      <c r="AG111" s="81"/>
      <c r="AH111" s="82"/>
      <c r="AI111" s="83"/>
      <c r="AJ111" s="83"/>
      <c r="AK111" s="81"/>
      <c r="AL111" s="82"/>
      <c r="AM111" s="83"/>
      <c r="AN111" s="83"/>
      <c r="AO111" s="81"/>
      <c r="AP111" s="82"/>
      <c r="AQ111" s="83"/>
      <c r="AR111" s="83"/>
      <c r="AS111" s="81"/>
      <c r="AT111" s="82"/>
      <c r="AU111" s="83"/>
      <c r="AV111" s="83"/>
      <c r="AW111" s="83"/>
      <c r="AX111" s="84"/>
      <c r="AY111" s="82"/>
      <c r="AZ111" s="83"/>
      <c r="BA111" s="83"/>
      <c r="BB111" s="83"/>
      <c r="BC111" s="8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</row>
    <row r="112" spans="1:116" ht="12.75" customHeight="1" x14ac:dyDescent="0.2">
      <c r="A112" s="126">
        <v>7200</v>
      </c>
      <c r="B112" s="127"/>
      <c r="C112" s="58" t="s">
        <v>92</v>
      </c>
      <c r="D112" s="58"/>
      <c r="E112" s="58"/>
      <c r="F112" s="58"/>
      <c r="G112" s="58"/>
      <c r="H112" s="59"/>
      <c r="I112" s="126"/>
      <c r="J112" s="161"/>
      <c r="K112" s="128" t="s">
        <v>91</v>
      </c>
      <c r="L112" s="63"/>
      <c r="M112" s="63">
        <f t="shared" si="28"/>
        <v>0</v>
      </c>
      <c r="N112" s="63">
        <f>L112+M112</f>
        <v>0</v>
      </c>
      <c r="O112" s="64">
        <f>N112/50500000</f>
        <v>0</v>
      </c>
      <c r="P112" s="129"/>
      <c r="Q112" s="130"/>
      <c r="R112" s="318"/>
      <c r="S112" s="319"/>
      <c r="T112" s="86"/>
      <c r="U112" s="87"/>
      <c r="V112" s="88"/>
      <c r="W112" s="88"/>
      <c r="X112" s="88"/>
      <c r="Y112" s="86"/>
      <c r="Z112" s="87"/>
      <c r="AA112" s="88"/>
      <c r="AB112" s="88"/>
      <c r="AC112" s="86"/>
      <c r="AD112" s="87"/>
      <c r="AE112" s="88"/>
      <c r="AF112" s="88">
        <f>O112/14</f>
        <v>0</v>
      </c>
      <c r="AG112" s="86">
        <f t="shared" ref="AG112:AS112" si="30">AF112</f>
        <v>0</v>
      </c>
      <c r="AH112" s="86">
        <f t="shared" si="30"/>
        <v>0</v>
      </c>
      <c r="AI112" s="86">
        <f t="shared" si="30"/>
        <v>0</v>
      </c>
      <c r="AJ112" s="86">
        <f t="shared" si="30"/>
        <v>0</v>
      </c>
      <c r="AK112" s="86">
        <f t="shared" si="30"/>
        <v>0</v>
      </c>
      <c r="AL112" s="86">
        <f t="shared" si="30"/>
        <v>0</v>
      </c>
      <c r="AM112" s="86">
        <f t="shared" si="30"/>
        <v>0</v>
      </c>
      <c r="AN112" s="86">
        <f t="shared" si="30"/>
        <v>0</v>
      </c>
      <c r="AO112" s="86">
        <f t="shared" si="30"/>
        <v>0</v>
      </c>
      <c r="AP112" s="86">
        <f t="shared" si="30"/>
        <v>0</v>
      </c>
      <c r="AQ112" s="86">
        <f t="shared" si="30"/>
        <v>0</v>
      </c>
      <c r="AR112" s="86">
        <f t="shared" si="30"/>
        <v>0</v>
      </c>
      <c r="AS112" s="86">
        <f t="shared" si="30"/>
        <v>0</v>
      </c>
      <c r="AT112" s="87"/>
      <c r="AU112" s="88"/>
      <c r="AV112" s="88"/>
      <c r="AW112" s="88"/>
      <c r="AX112" s="86"/>
      <c r="AY112" s="87"/>
      <c r="AZ112" s="88"/>
      <c r="BA112" s="88"/>
      <c r="BB112" s="88"/>
      <c r="BC112" s="86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</row>
    <row r="113" spans="1:116" ht="3.75" customHeight="1" x14ac:dyDescent="0.2">
      <c r="A113" s="104"/>
      <c r="B113" s="121"/>
      <c r="C113" s="106"/>
      <c r="D113" s="106"/>
      <c r="E113" s="106"/>
      <c r="F113" s="106"/>
      <c r="G113" s="106"/>
      <c r="H113" s="107"/>
      <c r="I113" s="122"/>
      <c r="J113" s="109"/>
      <c r="K113" s="123"/>
      <c r="L113" s="78"/>
      <c r="M113" s="63">
        <f t="shared" si="28"/>
        <v>0</v>
      </c>
      <c r="N113" s="63"/>
      <c r="O113" s="89"/>
      <c r="P113" s="131"/>
      <c r="Q113" s="132"/>
      <c r="R113" s="320"/>
      <c r="S113" s="321"/>
      <c r="T113" s="81"/>
      <c r="U113" s="82"/>
      <c r="V113" s="83"/>
      <c r="W113" s="83"/>
      <c r="X113" s="83"/>
      <c r="Y113" s="81"/>
      <c r="Z113" s="82"/>
      <c r="AA113" s="83"/>
      <c r="AB113" s="83"/>
      <c r="AC113" s="81"/>
      <c r="AD113" s="82"/>
      <c r="AE113" s="83"/>
      <c r="AF113" s="83"/>
      <c r="AG113" s="81"/>
      <c r="AH113" s="82"/>
      <c r="AI113" s="83"/>
      <c r="AJ113" s="83"/>
      <c r="AK113" s="81"/>
      <c r="AL113" s="82"/>
      <c r="AM113" s="83"/>
      <c r="AN113" s="83"/>
      <c r="AO113" s="81"/>
      <c r="AP113" s="82"/>
      <c r="AQ113" s="83"/>
      <c r="AR113" s="83"/>
      <c r="AS113" s="81"/>
      <c r="AT113" s="82"/>
      <c r="AU113" s="83"/>
      <c r="AV113" s="83"/>
      <c r="AW113" s="83"/>
      <c r="AX113" s="84"/>
      <c r="AY113" s="82"/>
      <c r="AZ113" s="83"/>
      <c r="BA113" s="83"/>
      <c r="BB113" s="83"/>
      <c r="BC113" s="8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</row>
    <row r="114" spans="1:116" ht="12.75" customHeight="1" x14ac:dyDescent="0.2">
      <c r="A114" s="126">
        <v>7300</v>
      </c>
      <c r="B114" s="127"/>
      <c r="C114" s="58" t="s">
        <v>93</v>
      </c>
      <c r="D114" s="58"/>
      <c r="E114" s="58"/>
      <c r="F114" s="58"/>
      <c r="G114" s="58"/>
      <c r="H114" s="59"/>
      <c r="I114" s="126"/>
      <c r="J114" s="161"/>
      <c r="K114" s="128" t="s">
        <v>94</v>
      </c>
      <c r="L114" s="63"/>
      <c r="M114" s="63">
        <f t="shared" si="28"/>
        <v>0</v>
      </c>
      <c r="N114" s="63">
        <f>L114+M114</f>
        <v>0</v>
      </c>
      <c r="O114" s="64">
        <f>N114/50500000</f>
        <v>0</v>
      </c>
      <c r="P114" s="129"/>
      <c r="Q114" s="130"/>
      <c r="R114" s="318"/>
      <c r="S114" s="319"/>
      <c r="T114" s="86"/>
      <c r="U114" s="87"/>
      <c r="V114" s="88"/>
      <c r="W114" s="88"/>
      <c r="X114" s="88"/>
      <c r="Y114" s="86"/>
      <c r="Z114" s="87"/>
      <c r="AA114" s="88"/>
      <c r="AB114" s="88"/>
      <c r="AC114" s="86"/>
      <c r="AD114" s="87"/>
      <c r="AE114" s="88"/>
      <c r="AF114" s="88">
        <f>O114/12</f>
        <v>0</v>
      </c>
      <c r="AG114" s="86">
        <f t="shared" ref="AG114:AQ114" si="31">AF114</f>
        <v>0</v>
      </c>
      <c r="AH114" s="86">
        <f t="shared" si="31"/>
        <v>0</v>
      </c>
      <c r="AI114" s="86">
        <f t="shared" si="31"/>
        <v>0</v>
      </c>
      <c r="AJ114" s="86">
        <f t="shared" si="31"/>
        <v>0</v>
      </c>
      <c r="AK114" s="86">
        <f t="shared" si="31"/>
        <v>0</v>
      </c>
      <c r="AL114" s="86">
        <f t="shared" si="31"/>
        <v>0</v>
      </c>
      <c r="AM114" s="86">
        <f t="shared" si="31"/>
        <v>0</v>
      </c>
      <c r="AN114" s="86">
        <f t="shared" si="31"/>
        <v>0</v>
      </c>
      <c r="AO114" s="86">
        <f t="shared" si="31"/>
        <v>0</v>
      </c>
      <c r="AP114" s="86">
        <f t="shared" si="31"/>
        <v>0</v>
      </c>
      <c r="AQ114" s="86">
        <f t="shared" si="31"/>
        <v>0</v>
      </c>
      <c r="AR114" s="88"/>
      <c r="AS114" s="86"/>
      <c r="AT114" s="87"/>
      <c r="AU114" s="88"/>
      <c r="AV114" s="88"/>
      <c r="AW114" s="88"/>
      <c r="AX114" s="70"/>
      <c r="AY114" s="87"/>
      <c r="AZ114" s="88"/>
      <c r="BA114" s="88"/>
      <c r="BB114" s="88"/>
      <c r="BC114" s="86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</row>
    <row r="115" spans="1:116" ht="3.75" customHeight="1" x14ac:dyDescent="0.2">
      <c r="A115" s="104"/>
      <c r="B115" s="121"/>
      <c r="C115" s="106"/>
      <c r="D115" s="106"/>
      <c r="E115" s="106"/>
      <c r="F115" s="106"/>
      <c r="G115" s="106"/>
      <c r="H115" s="107"/>
      <c r="I115" s="122"/>
      <c r="J115" s="109"/>
      <c r="K115" s="123"/>
      <c r="L115" s="78"/>
      <c r="M115" s="63">
        <f t="shared" si="28"/>
        <v>0</v>
      </c>
      <c r="N115" s="63"/>
      <c r="O115" s="89"/>
      <c r="P115" s="131"/>
      <c r="Q115" s="132"/>
      <c r="R115" s="320"/>
      <c r="S115" s="321"/>
      <c r="T115" s="81"/>
      <c r="U115" s="82"/>
      <c r="V115" s="83"/>
      <c r="W115" s="83"/>
      <c r="X115" s="83"/>
      <c r="Y115" s="81"/>
      <c r="Z115" s="82"/>
      <c r="AA115" s="83"/>
      <c r="AB115" s="83"/>
      <c r="AC115" s="81"/>
      <c r="AD115" s="82"/>
      <c r="AE115" s="83"/>
      <c r="AF115" s="83"/>
      <c r="AG115" s="81"/>
      <c r="AH115" s="82"/>
      <c r="AI115" s="83"/>
      <c r="AJ115" s="83"/>
      <c r="AK115" s="81"/>
      <c r="AL115" s="82"/>
      <c r="AM115" s="83"/>
      <c r="AN115" s="83"/>
      <c r="AO115" s="81"/>
      <c r="AP115" s="82"/>
      <c r="AQ115" s="83"/>
      <c r="AR115" s="83"/>
      <c r="AS115" s="81"/>
      <c r="AT115" s="82"/>
      <c r="AU115" s="83"/>
      <c r="AV115" s="83"/>
      <c r="AW115" s="83"/>
      <c r="AX115" s="84"/>
      <c r="AY115" s="82"/>
      <c r="AZ115" s="83"/>
      <c r="BA115" s="83"/>
      <c r="BB115" s="83"/>
      <c r="BC115" s="8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</row>
    <row r="116" spans="1:116" ht="12.75" customHeight="1" x14ac:dyDescent="0.2">
      <c r="A116" s="24">
        <v>8000</v>
      </c>
      <c r="B116" s="25" t="s">
        <v>95</v>
      </c>
      <c r="C116" s="94"/>
      <c r="D116" s="94"/>
      <c r="E116" s="94"/>
      <c r="F116" s="94"/>
      <c r="G116" s="94"/>
      <c r="H116" s="95"/>
      <c r="I116" s="28"/>
      <c r="J116" s="29"/>
      <c r="K116" s="30"/>
      <c r="L116" s="31"/>
      <c r="M116" s="31"/>
      <c r="N116" s="33"/>
      <c r="O116" s="33"/>
      <c r="P116" s="98"/>
      <c r="Q116" s="99"/>
      <c r="R116" s="327"/>
      <c r="S116" s="315"/>
      <c r="T116" s="100"/>
      <c r="U116" s="101"/>
      <c r="V116" s="102"/>
      <c r="W116" s="102"/>
      <c r="X116" s="102"/>
      <c r="Y116" s="100"/>
      <c r="Z116" s="101"/>
      <c r="AA116" s="102"/>
      <c r="AB116" s="102"/>
      <c r="AC116" s="100"/>
      <c r="AD116" s="101"/>
      <c r="AE116" s="102"/>
      <c r="AF116" s="102"/>
      <c r="AG116" s="100"/>
      <c r="AH116" s="101"/>
      <c r="AI116" s="102"/>
      <c r="AJ116" s="102"/>
      <c r="AK116" s="100"/>
      <c r="AL116" s="101"/>
      <c r="AM116" s="102"/>
      <c r="AN116" s="102"/>
      <c r="AO116" s="100"/>
      <c r="AP116" s="101"/>
      <c r="AQ116" s="102"/>
      <c r="AR116" s="102"/>
      <c r="AS116" s="100"/>
      <c r="AT116" s="101"/>
      <c r="AU116" s="102"/>
      <c r="AV116" s="102"/>
      <c r="AW116" s="102"/>
      <c r="AX116" s="103"/>
      <c r="AY116" s="101"/>
      <c r="AZ116" s="102"/>
      <c r="BA116" s="102"/>
      <c r="BB116" s="102"/>
      <c r="BC116" s="100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</row>
    <row r="117" spans="1:116" ht="3.75" customHeight="1" x14ac:dyDescent="0.2">
      <c r="A117" s="104"/>
      <c r="B117" s="121"/>
      <c r="C117" s="106"/>
      <c r="D117" s="106"/>
      <c r="E117" s="106"/>
      <c r="F117" s="106"/>
      <c r="G117" s="106"/>
      <c r="H117" s="107"/>
      <c r="I117" s="122"/>
      <c r="J117" s="109"/>
      <c r="K117" s="123"/>
      <c r="L117" s="111"/>
      <c r="M117" s="63">
        <f t="shared" ref="M117:M147" si="32">L117*4260501/50500000</f>
        <v>0</v>
      </c>
      <c r="N117" s="63"/>
      <c r="O117" s="112"/>
      <c r="P117" s="124"/>
      <c r="Q117" s="125"/>
      <c r="R117" s="324"/>
      <c r="S117" s="317"/>
      <c r="T117" s="115"/>
      <c r="U117" s="116"/>
      <c r="V117" s="117"/>
      <c r="W117" s="117"/>
      <c r="X117" s="117"/>
      <c r="Y117" s="115"/>
      <c r="Z117" s="116"/>
      <c r="AA117" s="117"/>
      <c r="AB117" s="117"/>
      <c r="AC117" s="115"/>
      <c r="AD117" s="116"/>
      <c r="AE117" s="117"/>
      <c r="AF117" s="117"/>
      <c r="AG117" s="115"/>
      <c r="AH117" s="116"/>
      <c r="AI117" s="117"/>
      <c r="AJ117" s="117"/>
      <c r="AK117" s="115"/>
      <c r="AL117" s="116"/>
      <c r="AM117" s="117"/>
      <c r="AN117" s="117"/>
      <c r="AO117" s="115"/>
      <c r="AP117" s="116"/>
      <c r="AQ117" s="117"/>
      <c r="AR117" s="117"/>
      <c r="AS117" s="115"/>
      <c r="AT117" s="116"/>
      <c r="AU117" s="117"/>
      <c r="AV117" s="117"/>
      <c r="AW117" s="117"/>
      <c r="AX117" s="118"/>
      <c r="AY117" s="116"/>
      <c r="AZ117" s="117"/>
      <c r="BA117" s="117"/>
      <c r="BB117" s="117"/>
      <c r="BC117" s="115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</row>
    <row r="118" spans="1:116" ht="12.75" customHeight="1" x14ac:dyDescent="0.2">
      <c r="A118" s="126">
        <v>8100</v>
      </c>
      <c r="B118" s="127"/>
      <c r="C118" s="58" t="s">
        <v>96</v>
      </c>
      <c r="D118" s="58"/>
      <c r="E118" s="58"/>
      <c r="F118" s="58"/>
      <c r="G118" s="58"/>
      <c r="H118" s="59"/>
      <c r="I118" s="126"/>
      <c r="J118" s="161"/>
      <c r="K118" s="128"/>
      <c r="L118" s="63"/>
      <c r="M118" s="63">
        <f t="shared" si="32"/>
        <v>0</v>
      </c>
      <c r="N118" s="63"/>
      <c r="O118" s="64"/>
      <c r="P118" s="129"/>
      <c r="Q118" s="130"/>
      <c r="R118" s="318"/>
      <c r="S118" s="319"/>
      <c r="T118" s="86"/>
      <c r="U118" s="87"/>
      <c r="V118" s="88"/>
      <c r="W118" s="88"/>
      <c r="X118" s="88"/>
      <c r="Y118" s="86"/>
      <c r="Z118" s="87"/>
      <c r="AA118" s="88"/>
      <c r="AB118" s="88"/>
      <c r="AC118" s="86"/>
      <c r="AD118" s="87"/>
      <c r="AE118" s="88"/>
      <c r="AF118" s="88"/>
      <c r="AG118" s="86"/>
      <c r="AH118" s="87"/>
      <c r="AI118" s="88"/>
      <c r="AJ118" s="88"/>
      <c r="AK118" s="86"/>
      <c r="AL118" s="87"/>
      <c r="AM118" s="88"/>
      <c r="AN118" s="88"/>
      <c r="AO118" s="86"/>
      <c r="AP118" s="87"/>
      <c r="AQ118" s="88"/>
      <c r="AR118" s="88"/>
      <c r="AS118" s="86"/>
      <c r="AT118" s="87"/>
      <c r="AU118" s="88"/>
      <c r="AV118" s="88"/>
      <c r="AW118" s="88"/>
      <c r="AX118" s="70"/>
      <c r="AY118" s="87"/>
      <c r="AZ118" s="88"/>
      <c r="BA118" s="88"/>
      <c r="BB118" s="88"/>
      <c r="BC118" s="86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</row>
    <row r="119" spans="1:116" ht="3.75" customHeight="1" x14ac:dyDescent="0.2">
      <c r="A119" s="104"/>
      <c r="B119" s="121"/>
      <c r="C119" s="106"/>
      <c r="D119" s="106"/>
      <c r="E119" s="106"/>
      <c r="F119" s="106"/>
      <c r="G119" s="106"/>
      <c r="H119" s="107"/>
      <c r="I119" s="122"/>
      <c r="J119" s="109"/>
      <c r="K119" s="123"/>
      <c r="L119" s="78"/>
      <c r="M119" s="63">
        <f t="shared" si="32"/>
        <v>0</v>
      </c>
      <c r="N119" s="63"/>
      <c r="O119" s="89"/>
      <c r="P119" s="131"/>
      <c r="Q119" s="132"/>
      <c r="R119" s="320"/>
      <c r="S119" s="321"/>
      <c r="T119" s="81"/>
      <c r="U119" s="82"/>
      <c r="V119" s="83"/>
      <c r="W119" s="83"/>
      <c r="X119" s="83"/>
      <c r="Y119" s="81"/>
      <c r="Z119" s="82"/>
      <c r="AA119" s="83"/>
      <c r="AB119" s="83"/>
      <c r="AC119" s="81"/>
      <c r="AD119" s="82"/>
      <c r="AE119" s="83"/>
      <c r="AF119" s="83"/>
      <c r="AG119" s="81"/>
      <c r="AH119" s="82"/>
      <c r="AI119" s="83"/>
      <c r="AJ119" s="83"/>
      <c r="AK119" s="81"/>
      <c r="AL119" s="82"/>
      <c r="AM119" s="83"/>
      <c r="AN119" s="83"/>
      <c r="AO119" s="81"/>
      <c r="AP119" s="82"/>
      <c r="AQ119" s="83"/>
      <c r="AR119" s="83"/>
      <c r="AS119" s="81"/>
      <c r="AT119" s="82"/>
      <c r="AU119" s="83"/>
      <c r="AV119" s="83"/>
      <c r="AW119" s="83"/>
      <c r="AX119" s="84"/>
      <c r="AY119" s="82"/>
      <c r="AZ119" s="83"/>
      <c r="BA119" s="83"/>
      <c r="BB119" s="83"/>
      <c r="BC119" s="8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</row>
    <row r="120" spans="1:116" ht="12.75" customHeight="1" x14ac:dyDescent="0.2">
      <c r="A120" s="56">
        <v>8110</v>
      </c>
      <c r="B120" s="127"/>
      <c r="C120" s="58"/>
      <c r="D120" s="58" t="s">
        <v>97</v>
      </c>
      <c r="E120" s="58"/>
      <c r="F120" s="58"/>
      <c r="G120" s="58"/>
      <c r="H120" s="59"/>
      <c r="I120" s="126"/>
      <c r="J120" s="161"/>
      <c r="K120" s="128" t="s">
        <v>91</v>
      </c>
      <c r="L120" s="63"/>
      <c r="M120" s="63">
        <f t="shared" si="32"/>
        <v>0</v>
      </c>
      <c r="N120" s="63">
        <f>L120+M120</f>
        <v>0</v>
      </c>
      <c r="O120" s="64">
        <f>N120/50500000</f>
        <v>0</v>
      </c>
      <c r="P120" s="129"/>
      <c r="Q120" s="130"/>
      <c r="R120" s="318"/>
      <c r="S120" s="319"/>
      <c r="T120" s="86"/>
      <c r="U120" s="87"/>
      <c r="V120" s="88"/>
      <c r="W120" s="88"/>
      <c r="X120" s="88"/>
      <c r="Y120" s="86"/>
      <c r="Z120" s="87"/>
      <c r="AA120" s="88"/>
      <c r="AB120" s="88"/>
      <c r="AC120" s="86"/>
      <c r="AD120" s="87"/>
      <c r="AE120" s="88"/>
      <c r="AF120" s="88"/>
      <c r="AG120" s="86"/>
      <c r="AH120" s="87"/>
      <c r="AI120" s="88"/>
      <c r="AJ120" s="88"/>
      <c r="AK120" s="86"/>
      <c r="AL120" s="87"/>
      <c r="AM120" s="88"/>
      <c r="AN120" s="88"/>
      <c r="AO120" s="86">
        <f>O120/11</f>
        <v>0</v>
      </c>
      <c r="AP120" s="87">
        <f t="shared" ref="AP120:AY120" si="33">AO120</f>
        <v>0</v>
      </c>
      <c r="AQ120" s="87">
        <f t="shared" si="33"/>
        <v>0</v>
      </c>
      <c r="AR120" s="87">
        <f t="shared" si="33"/>
        <v>0</v>
      </c>
      <c r="AS120" s="87">
        <f t="shared" si="33"/>
        <v>0</v>
      </c>
      <c r="AT120" s="87">
        <f t="shared" si="33"/>
        <v>0</v>
      </c>
      <c r="AU120" s="87">
        <f t="shared" si="33"/>
        <v>0</v>
      </c>
      <c r="AV120" s="87">
        <f t="shared" si="33"/>
        <v>0</v>
      </c>
      <c r="AW120" s="87">
        <f t="shared" si="33"/>
        <v>0</v>
      </c>
      <c r="AX120" s="87">
        <f t="shared" si="33"/>
        <v>0</v>
      </c>
      <c r="AY120" s="87">
        <f t="shared" si="33"/>
        <v>0</v>
      </c>
      <c r="AZ120" s="88"/>
      <c r="BA120" s="88"/>
      <c r="BB120" s="88"/>
      <c r="BC120" s="86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</row>
    <row r="121" spans="1:116" ht="3.75" customHeight="1" x14ac:dyDescent="0.2">
      <c r="A121" s="104"/>
      <c r="B121" s="121"/>
      <c r="C121" s="106"/>
      <c r="D121" s="106"/>
      <c r="E121" s="106"/>
      <c r="F121" s="106"/>
      <c r="G121" s="106"/>
      <c r="H121" s="107"/>
      <c r="I121" s="122"/>
      <c r="J121" s="109"/>
      <c r="K121" s="123"/>
      <c r="L121" s="78"/>
      <c r="M121" s="63">
        <f t="shared" si="32"/>
        <v>0</v>
      </c>
      <c r="N121" s="63"/>
      <c r="O121" s="89"/>
      <c r="P121" s="131"/>
      <c r="Q121" s="132"/>
      <c r="R121" s="320"/>
      <c r="S121" s="321"/>
      <c r="T121" s="81"/>
      <c r="U121" s="82"/>
      <c r="V121" s="83"/>
      <c r="W121" s="83"/>
      <c r="X121" s="83"/>
      <c r="Y121" s="81"/>
      <c r="Z121" s="82"/>
      <c r="AA121" s="83"/>
      <c r="AB121" s="83"/>
      <c r="AC121" s="81"/>
      <c r="AD121" s="82"/>
      <c r="AE121" s="83"/>
      <c r="AF121" s="83"/>
      <c r="AG121" s="81"/>
      <c r="AH121" s="82"/>
      <c r="AI121" s="83"/>
      <c r="AJ121" s="83"/>
      <c r="AK121" s="81"/>
      <c r="AL121" s="82"/>
      <c r="AM121" s="83"/>
      <c r="AN121" s="83"/>
      <c r="AO121" s="81"/>
      <c r="AP121" s="82"/>
      <c r="AQ121" s="83"/>
      <c r="AR121" s="83"/>
      <c r="AS121" s="81"/>
      <c r="AT121" s="82"/>
      <c r="AU121" s="83"/>
      <c r="AV121" s="83"/>
      <c r="AW121" s="83"/>
      <c r="AX121" s="84"/>
      <c r="AY121" s="82"/>
      <c r="AZ121" s="83"/>
      <c r="BA121" s="83"/>
      <c r="BB121" s="83"/>
      <c r="BC121" s="8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</row>
    <row r="122" spans="1:116" ht="12.75" customHeight="1" x14ac:dyDescent="0.2">
      <c r="A122" s="56">
        <v>8120</v>
      </c>
      <c r="B122" s="127"/>
      <c r="C122" s="58"/>
      <c r="D122" s="58" t="s">
        <v>98</v>
      </c>
      <c r="E122" s="58"/>
      <c r="F122" s="58"/>
      <c r="G122" s="58"/>
      <c r="H122" s="59"/>
      <c r="I122" s="126"/>
      <c r="J122" s="161"/>
      <c r="K122" s="128" t="s">
        <v>91</v>
      </c>
      <c r="L122" s="63"/>
      <c r="M122" s="63">
        <f t="shared" si="32"/>
        <v>0</v>
      </c>
      <c r="N122" s="63">
        <f>L122+M122</f>
        <v>0</v>
      </c>
      <c r="O122" s="64">
        <f>N122/50500000</f>
        <v>0</v>
      </c>
      <c r="P122" s="129"/>
      <c r="Q122" s="130"/>
      <c r="R122" s="318"/>
      <c r="S122" s="319"/>
      <c r="T122" s="86"/>
      <c r="U122" s="87"/>
      <c r="V122" s="88"/>
      <c r="W122" s="88"/>
      <c r="X122" s="88"/>
      <c r="Y122" s="86"/>
      <c r="Z122" s="87"/>
      <c r="AA122" s="88"/>
      <c r="AB122" s="88"/>
      <c r="AC122" s="86"/>
      <c r="AD122" s="87"/>
      <c r="AE122" s="88"/>
      <c r="AF122" s="88"/>
      <c r="AG122" s="86"/>
      <c r="AH122" s="87"/>
      <c r="AI122" s="88"/>
      <c r="AJ122" s="88"/>
      <c r="AK122" s="86"/>
      <c r="AL122" s="87"/>
      <c r="AM122" s="88"/>
      <c r="AN122" s="88"/>
      <c r="AO122" s="86">
        <f>O122/11</f>
        <v>0</v>
      </c>
      <c r="AP122" s="87">
        <f t="shared" ref="AP122:AY122" si="34">AO122</f>
        <v>0</v>
      </c>
      <c r="AQ122" s="87">
        <f t="shared" si="34"/>
        <v>0</v>
      </c>
      <c r="AR122" s="87">
        <f t="shared" si="34"/>
        <v>0</v>
      </c>
      <c r="AS122" s="87">
        <f t="shared" si="34"/>
        <v>0</v>
      </c>
      <c r="AT122" s="87">
        <f t="shared" si="34"/>
        <v>0</v>
      </c>
      <c r="AU122" s="87">
        <f t="shared" si="34"/>
        <v>0</v>
      </c>
      <c r="AV122" s="87">
        <f t="shared" si="34"/>
        <v>0</v>
      </c>
      <c r="AW122" s="87">
        <f t="shared" si="34"/>
        <v>0</v>
      </c>
      <c r="AX122" s="87">
        <f t="shared" si="34"/>
        <v>0</v>
      </c>
      <c r="AY122" s="87">
        <f t="shared" si="34"/>
        <v>0</v>
      </c>
      <c r="AZ122" s="88"/>
      <c r="BA122" s="88"/>
      <c r="BB122" s="88"/>
      <c r="BC122" s="86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</row>
    <row r="123" spans="1:116" ht="3.75" customHeight="1" x14ac:dyDescent="0.2">
      <c r="A123" s="104"/>
      <c r="B123" s="121"/>
      <c r="C123" s="106"/>
      <c r="D123" s="106"/>
      <c r="E123" s="106"/>
      <c r="F123" s="106"/>
      <c r="G123" s="106"/>
      <c r="H123" s="107"/>
      <c r="I123" s="122"/>
      <c r="J123" s="109"/>
      <c r="K123" s="123"/>
      <c r="L123" s="78"/>
      <c r="M123" s="63">
        <f t="shared" si="32"/>
        <v>0</v>
      </c>
      <c r="N123" s="63"/>
      <c r="O123" s="89"/>
      <c r="P123" s="131"/>
      <c r="Q123" s="132"/>
      <c r="R123" s="320"/>
      <c r="S123" s="321"/>
      <c r="T123" s="81"/>
      <c r="U123" s="82"/>
      <c r="V123" s="83"/>
      <c r="W123" s="83"/>
      <c r="X123" s="83"/>
      <c r="Y123" s="81"/>
      <c r="Z123" s="82"/>
      <c r="AA123" s="83"/>
      <c r="AB123" s="83"/>
      <c r="AC123" s="81"/>
      <c r="AD123" s="82"/>
      <c r="AE123" s="83"/>
      <c r="AF123" s="83"/>
      <c r="AG123" s="81"/>
      <c r="AH123" s="82"/>
      <c r="AI123" s="83"/>
      <c r="AJ123" s="83"/>
      <c r="AK123" s="81"/>
      <c r="AL123" s="82"/>
      <c r="AM123" s="83"/>
      <c r="AN123" s="83"/>
      <c r="AO123" s="81"/>
      <c r="AP123" s="82"/>
      <c r="AQ123" s="83"/>
      <c r="AR123" s="83"/>
      <c r="AS123" s="81"/>
      <c r="AT123" s="82"/>
      <c r="AU123" s="83"/>
      <c r="AV123" s="83"/>
      <c r="AW123" s="83"/>
      <c r="AX123" s="84"/>
      <c r="AY123" s="82"/>
      <c r="AZ123" s="83"/>
      <c r="BA123" s="83"/>
      <c r="BB123" s="83"/>
      <c r="BC123" s="8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</row>
    <row r="124" spans="1:116" ht="12.75" customHeight="1" x14ac:dyDescent="0.2">
      <c r="A124" s="126">
        <v>8200</v>
      </c>
      <c r="B124" s="127"/>
      <c r="C124" s="58" t="s">
        <v>99</v>
      </c>
      <c r="D124" s="58"/>
      <c r="E124" s="58"/>
      <c r="F124" s="58"/>
      <c r="G124" s="58"/>
      <c r="H124" s="59"/>
      <c r="I124" s="126"/>
      <c r="J124" s="161"/>
      <c r="K124" s="128"/>
      <c r="L124" s="63"/>
      <c r="M124" s="63">
        <f t="shared" si="32"/>
        <v>0</v>
      </c>
      <c r="N124" s="63"/>
      <c r="O124" s="64"/>
      <c r="P124" s="129"/>
      <c r="Q124" s="130"/>
      <c r="R124" s="318"/>
      <c r="S124" s="319"/>
      <c r="T124" s="86"/>
      <c r="U124" s="87"/>
      <c r="V124" s="88"/>
      <c r="W124" s="88"/>
      <c r="X124" s="88"/>
      <c r="Y124" s="86"/>
      <c r="Z124" s="87"/>
      <c r="AA124" s="88"/>
      <c r="AB124" s="88"/>
      <c r="AC124" s="86"/>
      <c r="AD124" s="87"/>
      <c r="AE124" s="88"/>
      <c r="AF124" s="88"/>
      <c r="AG124" s="86"/>
      <c r="AH124" s="87"/>
      <c r="AI124" s="88"/>
      <c r="AJ124" s="88"/>
      <c r="AK124" s="86"/>
      <c r="AL124" s="87"/>
      <c r="AM124" s="88"/>
      <c r="AN124" s="88"/>
      <c r="AO124" s="86"/>
      <c r="AP124" s="87"/>
      <c r="AQ124" s="88"/>
      <c r="AR124" s="88"/>
      <c r="AS124" s="86"/>
      <c r="AT124" s="87"/>
      <c r="AU124" s="88"/>
      <c r="AV124" s="88"/>
      <c r="AW124" s="88"/>
      <c r="AX124" s="70"/>
      <c r="AY124" s="87"/>
      <c r="AZ124" s="88"/>
      <c r="BA124" s="88"/>
      <c r="BB124" s="88"/>
      <c r="BC124" s="86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</row>
    <row r="125" spans="1:116" ht="3.75" customHeight="1" x14ac:dyDescent="0.2">
      <c r="A125" s="104"/>
      <c r="B125" s="121"/>
      <c r="C125" s="106"/>
      <c r="D125" s="106"/>
      <c r="E125" s="106"/>
      <c r="F125" s="106"/>
      <c r="G125" s="106"/>
      <c r="H125" s="107"/>
      <c r="I125" s="122"/>
      <c r="J125" s="109"/>
      <c r="K125" s="123"/>
      <c r="L125" s="78"/>
      <c r="M125" s="63">
        <f t="shared" si="32"/>
        <v>0</v>
      </c>
      <c r="N125" s="63"/>
      <c r="O125" s="89"/>
      <c r="P125" s="131"/>
      <c r="Q125" s="132"/>
      <c r="R125" s="320"/>
      <c r="S125" s="321"/>
      <c r="T125" s="81"/>
      <c r="U125" s="82"/>
      <c r="V125" s="83"/>
      <c r="W125" s="83"/>
      <c r="X125" s="83"/>
      <c r="Y125" s="81"/>
      <c r="Z125" s="82"/>
      <c r="AA125" s="83"/>
      <c r="AB125" s="83"/>
      <c r="AC125" s="81"/>
      <c r="AD125" s="82"/>
      <c r="AE125" s="83"/>
      <c r="AF125" s="83"/>
      <c r="AG125" s="81"/>
      <c r="AH125" s="82"/>
      <c r="AI125" s="83"/>
      <c r="AJ125" s="83"/>
      <c r="AK125" s="81"/>
      <c r="AL125" s="82"/>
      <c r="AM125" s="83"/>
      <c r="AN125" s="83"/>
      <c r="AO125" s="81"/>
      <c r="AP125" s="82"/>
      <c r="AQ125" s="83"/>
      <c r="AR125" s="83"/>
      <c r="AS125" s="81"/>
      <c r="AT125" s="82"/>
      <c r="AU125" s="83"/>
      <c r="AV125" s="83"/>
      <c r="AW125" s="83"/>
      <c r="AX125" s="84"/>
      <c r="AY125" s="82"/>
      <c r="AZ125" s="83"/>
      <c r="BA125" s="83"/>
      <c r="BB125" s="83"/>
      <c r="BC125" s="8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</row>
    <row r="126" spans="1:116" ht="12.75" customHeight="1" x14ac:dyDescent="0.2">
      <c r="A126" s="126">
        <v>8300</v>
      </c>
      <c r="B126" s="127"/>
      <c r="C126" s="58"/>
      <c r="D126" s="58" t="s">
        <v>100</v>
      </c>
      <c r="E126" s="58"/>
      <c r="F126" s="58"/>
      <c r="G126" s="58"/>
      <c r="H126" s="59"/>
      <c r="I126" s="126"/>
      <c r="J126" s="161"/>
      <c r="K126" s="128" t="s">
        <v>91</v>
      </c>
      <c r="L126" s="63"/>
      <c r="M126" s="63">
        <f t="shared" si="32"/>
        <v>0</v>
      </c>
      <c r="N126" s="63">
        <f>L126+M126</f>
        <v>0</v>
      </c>
      <c r="O126" s="64">
        <f>N126/50500000</f>
        <v>0</v>
      </c>
      <c r="P126" s="129"/>
      <c r="Q126" s="130"/>
      <c r="R126" s="318"/>
      <c r="S126" s="319"/>
      <c r="T126" s="86"/>
      <c r="U126" s="87"/>
      <c r="V126" s="88"/>
      <c r="W126" s="88"/>
      <c r="X126" s="88"/>
      <c r="Y126" s="86"/>
      <c r="Z126" s="87"/>
      <c r="AA126" s="88"/>
      <c r="AB126" s="88"/>
      <c r="AC126" s="86"/>
      <c r="AD126" s="87"/>
      <c r="AE126" s="88"/>
      <c r="AF126" s="88"/>
      <c r="AG126" s="86"/>
      <c r="AH126" s="87"/>
      <c r="AI126" s="88"/>
      <c r="AJ126" s="88"/>
      <c r="AK126" s="86"/>
      <c r="AL126" s="87"/>
      <c r="AM126" s="88"/>
      <c r="AN126" s="88"/>
      <c r="AO126" s="86">
        <f>O126/12</f>
        <v>0</v>
      </c>
      <c r="AP126" s="87">
        <f t="shared" ref="AP126:AZ126" si="35">AO126</f>
        <v>0</v>
      </c>
      <c r="AQ126" s="87">
        <f t="shared" si="35"/>
        <v>0</v>
      </c>
      <c r="AR126" s="87">
        <f t="shared" si="35"/>
        <v>0</v>
      </c>
      <c r="AS126" s="87">
        <f t="shared" si="35"/>
        <v>0</v>
      </c>
      <c r="AT126" s="87">
        <f t="shared" si="35"/>
        <v>0</v>
      </c>
      <c r="AU126" s="87">
        <f t="shared" si="35"/>
        <v>0</v>
      </c>
      <c r="AV126" s="87">
        <f t="shared" si="35"/>
        <v>0</v>
      </c>
      <c r="AW126" s="87">
        <f t="shared" si="35"/>
        <v>0</v>
      </c>
      <c r="AX126" s="87">
        <f t="shared" si="35"/>
        <v>0</v>
      </c>
      <c r="AY126" s="87">
        <f t="shared" si="35"/>
        <v>0</v>
      </c>
      <c r="AZ126" s="87">
        <f t="shared" si="35"/>
        <v>0</v>
      </c>
      <c r="BA126" s="88"/>
      <c r="BB126" s="88"/>
      <c r="BC126" s="86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</row>
    <row r="127" spans="1:116" ht="3.75" customHeight="1" x14ac:dyDescent="0.2">
      <c r="A127" s="104"/>
      <c r="B127" s="121"/>
      <c r="C127" s="106"/>
      <c r="D127" s="106"/>
      <c r="E127" s="106"/>
      <c r="F127" s="106"/>
      <c r="G127" s="106"/>
      <c r="H127" s="107"/>
      <c r="I127" s="122"/>
      <c r="J127" s="109"/>
      <c r="K127" s="123"/>
      <c r="L127" s="78"/>
      <c r="M127" s="63">
        <f t="shared" si="32"/>
        <v>0</v>
      </c>
      <c r="N127" s="63"/>
      <c r="O127" s="89"/>
      <c r="P127" s="131"/>
      <c r="Q127" s="132"/>
      <c r="R127" s="320"/>
      <c r="S127" s="321"/>
      <c r="T127" s="81"/>
      <c r="U127" s="82"/>
      <c r="V127" s="83"/>
      <c r="W127" s="83"/>
      <c r="X127" s="83"/>
      <c r="Y127" s="81"/>
      <c r="Z127" s="82"/>
      <c r="AA127" s="83"/>
      <c r="AB127" s="83"/>
      <c r="AC127" s="81"/>
      <c r="AD127" s="82"/>
      <c r="AE127" s="83"/>
      <c r="AF127" s="83"/>
      <c r="AG127" s="81"/>
      <c r="AH127" s="82"/>
      <c r="AI127" s="83"/>
      <c r="AJ127" s="83"/>
      <c r="AK127" s="81"/>
      <c r="AL127" s="82"/>
      <c r="AM127" s="83"/>
      <c r="AN127" s="83"/>
      <c r="AO127" s="81"/>
      <c r="AP127" s="82"/>
      <c r="AQ127" s="83"/>
      <c r="AR127" s="83"/>
      <c r="AS127" s="81"/>
      <c r="AT127" s="82"/>
      <c r="AU127" s="83"/>
      <c r="AV127" s="83"/>
      <c r="AW127" s="83"/>
      <c r="AX127" s="84"/>
      <c r="AY127" s="82"/>
      <c r="AZ127" s="83"/>
      <c r="BA127" s="83"/>
      <c r="BB127" s="83"/>
      <c r="BC127" s="8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</row>
    <row r="128" spans="1:116" ht="12.75" customHeight="1" x14ac:dyDescent="0.2">
      <c r="A128" s="126">
        <v>8400</v>
      </c>
      <c r="B128" s="127"/>
      <c r="C128" s="58"/>
      <c r="D128" s="58" t="s">
        <v>101</v>
      </c>
      <c r="E128" s="58"/>
      <c r="F128" s="58"/>
      <c r="G128" s="58"/>
      <c r="H128" s="59"/>
      <c r="I128" s="126"/>
      <c r="J128" s="161"/>
      <c r="K128" s="128" t="s">
        <v>91</v>
      </c>
      <c r="L128" s="63"/>
      <c r="M128" s="63">
        <f t="shared" si="32"/>
        <v>0</v>
      </c>
      <c r="N128" s="63">
        <f>L128+M128</f>
        <v>0</v>
      </c>
      <c r="O128" s="64">
        <f>N128/50500000</f>
        <v>0</v>
      </c>
      <c r="P128" s="129"/>
      <c r="Q128" s="130"/>
      <c r="R128" s="318"/>
      <c r="S128" s="319"/>
      <c r="T128" s="86"/>
      <c r="U128" s="87"/>
      <c r="V128" s="88"/>
      <c r="W128" s="88"/>
      <c r="X128" s="88"/>
      <c r="Y128" s="86"/>
      <c r="Z128" s="87"/>
      <c r="AA128" s="88"/>
      <c r="AB128" s="88"/>
      <c r="AC128" s="86"/>
      <c r="AD128" s="87"/>
      <c r="AE128" s="88"/>
      <c r="AF128" s="88"/>
      <c r="AG128" s="86"/>
      <c r="AH128" s="87"/>
      <c r="AI128" s="88"/>
      <c r="AJ128" s="88"/>
      <c r="AK128" s="86"/>
      <c r="AL128" s="87"/>
      <c r="AM128" s="88"/>
      <c r="AN128" s="88"/>
      <c r="AO128" s="86"/>
      <c r="AP128" s="87"/>
      <c r="AQ128" s="88"/>
      <c r="AR128" s="88"/>
      <c r="AS128" s="86">
        <f>O128/7</f>
        <v>0</v>
      </c>
      <c r="AT128" s="87">
        <f t="shared" ref="AT128:AY128" si="36">AS128</f>
        <v>0</v>
      </c>
      <c r="AU128" s="87">
        <f t="shared" si="36"/>
        <v>0</v>
      </c>
      <c r="AV128" s="87">
        <f t="shared" si="36"/>
        <v>0</v>
      </c>
      <c r="AW128" s="87">
        <f t="shared" si="36"/>
        <v>0</v>
      </c>
      <c r="AX128" s="87">
        <f t="shared" si="36"/>
        <v>0</v>
      </c>
      <c r="AY128" s="87">
        <f t="shared" si="36"/>
        <v>0</v>
      </c>
      <c r="AZ128" s="88"/>
      <c r="BA128" s="88"/>
      <c r="BB128" s="88"/>
      <c r="BC128" s="86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</row>
    <row r="129" spans="1:116" ht="3.75" customHeight="1" x14ac:dyDescent="0.2">
      <c r="A129" s="104"/>
      <c r="B129" s="121"/>
      <c r="C129" s="106"/>
      <c r="D129" s="106"/>
      <c r="E129" s="106"/>
      <c r="F129" s="106"/>
      <c r="G129" s="106"/>
      <c r="H129" s="107"/>
      <c r="I129" s="122"/>
      <c r="J129" s="109"/>
      <c r="K129" s="123"/>
      <c r="L129" s="78"/>
      <c r="M129" s="63">
        <f t="shared" si="32"/>
        <v>0</v>
      </c>
      <c r="N129" s="63"/>
      <c r="O129" s="89"/>
      <c r="P129" s="131"/>
      <c r="Q129" s="132"/>
      <c r="R129" s="320"/>
      <c r="S129" s="321"/>
      <c r="T129" s="81"/>
      <c r="U129" s="82"/>
      <c r="V129" s="83"/>
      <c r="W129" s="83"/>
      <c r="X129" s="83"/>
      <c r="Y129" s="81"/>
      <c r="Z129" s="82"/>
      <c r="AA129" s="83"/>
      <c r="AB129" s="83"/>
      <c r="AC129" s="81"/>
      <c r="AD129" s="82"/>
      <c r="AE129" s="83"/>
      <c r="AF129" s="83"/>
      <c r="AG129" s="81"/>
      <c r="AH129" s="82"/>
      <c r="AI129" s="83"/>
      <c r="AJ129" s="83"/>
      <c r="AK129" s="81"/>
      <c r="AL129" s="82"/>
      <c r="AM129" s="83"/>
      <c r="AN129" s="83"/>
      <c r="AO129" s="81"/>
      <c r="AP129" s="82"/>
      <c r="AQ129" s="83"/>
      <c r="AR129" s="83"/>
      <c r="AS129" s="81"/>
      <c r="AT129" s="82"/>
      <c r="AU129" s="83"/>
      <c r="AV129" s="83"/>
      <c r="AW129" s="83"/>
      <c r="AX129" s="84"/>
      <c r="AY129" s="82"/>
      <c r="AZ129" s="83"/>
      <c r="BA129" s="83"/>
      <c r="BB129" s="83"/>
      <c r="BC129" s="8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</row>
    <row r="130" spans="1:116" ht="12.75" customHeight="1" x14ac:dyDescent="0.2">
      <c r="A130" s="126">
        <v>8500</v>
      </c>
      <c r="B130" s="127"/>
      <c r="C130" s="58"/>
      <c r="D130" s="58" t="s">
        <v>102</v>
      </c>
      <c r="E130" s="58"/>
      <c r="F130" s="58"/>
      <c r="G130" s="58"/>
      <c r="H130" s="59"/>
      <c r="I130" s="126"/>
      <c r="J130" s="161"/>
      <c r="K130" s="128" t="s">
        <v>91</v>
      </c>
      <c r="L130" s="63"/>
      <c r="M130" s="63">
        <f t="shared" si="32"/>
        <v>0</v>
      </c>
      <c r="N130" s="63">
        <f>L130+M130</f>
        <v>0</v>
      </c>
      <c r="O130" s="64">
        <f>N130/50500000</f>
        <v>0</v>
      </c>
      <c r="P130" s="129"/>
      <c r="Q130" s="130"/>
      <c r="R130" s="318"/>
      <c r="S130" s="319"/>
      <c r="T130" s="86"/>
      <c r="U130" s="87"/>
      <c r="V130" s="88"/>
      <c r="W130" s="88"/>
      <c r="X130" s="88"/>
      <c r="Y130" s="86"/>
      <c r="Z130" s="87"/>
      <c r="AA130" s="88"/>
      <c r="AB130" s="88"/>
      <c r="AC130" s="86"/>
      <c r="AD130" s="87"/>
      <c r="AE130" s="88"/>
      <c r="AF130" s="88"/>
      <c r="AG130" s="86"/>
      <c r="AH130" s="87"/>
      <c r="AI130" s="88"/>
      <c r="AJ130" s="88"/>
      <c r="AK130" s="86"/>
      <c r="AL130" s="87"/>
      <c r="AM130" s="88"/>
      <c r="AN130" s="88"/>
      <c r="AO130" s="86"/>
      <c r="AP130" s="87"/>
      <c r="AQ130" s="88"/>
      <c r="AR130" s="88"/>
      <c r="AS130" s="86"/>
      <c r="AT130" s="87"/>
      <c r="AU130" s="88">
        <f>O130/6</f>
        <v>0</v>
      </c>
      <c r="AV130" s="88">
        <f t="shared" ref="AV130:AZ130" si="37">AU130</f>
        <v>0</v>
      </c>
      <c r="AW130" s="88">
        <f t="shared" si="37"/>
        <v>0</v>
      </c>
      <c r="AX130" s="88">
        <f t="shared" si="37"/>
        <v>0</v>
      </c>
      <c r="AY130" s="88">
        <f t="shared" si="37"/>
        <v>0</v>
      </c>
      <c r="AZ130" s="88">
        <f t="shared" si="37"/>
        <v>0</v>
      </c>
      <c r="BA130" s="88"/>
      <c r="BB130" s="88"/>
      <c r="BC130" s="86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</row>
    <row r="131" spans="1:116" ht="3.75" customHeight="1" x14ac:dyDescent="0.2">
      <c r="A131" s="104"/>
      <c r="B131" s="121"/>
      <c r="C131" s="106"/>
      <c r="D131" s="106"/>
      <c r="E131" s="106"/>
      <c r="F131" s="106"/>
      <c r="G131" s="106"/>
      <c r="H131" s="107"/>
      <c r="I131" s="122"/>
      <c r="J131" s="109"/>
      <c r="K131" s="123"/>
      <c r="L131" s="78"/>
      <c r="M131" s="63">
        <f t="shared" si="32"/>
        <v>0</v>
      </c>
      <c r="N131" s="63"/>
      <c r="O131" s="89"/>
      <c r="P131" s="131"/>
      <c r="Q131" s="132"/>
      <c r="R131" s="320"/>
      <c r="S131" s="321"/>
      <c r="T131" s="81"/>
      <c r="U131" s="82"/>
      <c r="V131" s="83"/>
      <c r="W131" s="83"/>
      <c r="X131" s="83"/>
      <c r="Y131" s="81"/>
      <c r="Z131" s="82"/>
      <c r="AA131" s="83"/>
      <c r="AB131" s="83"/>
      <c r="AC131" s="81"/>
      <c r="AD131" s="82"/>
      <c r="AE131" s="83"/>
      <c r="AF131" s="83"/>
      <c r="AG131" s="81"/>
      <c r="AH131" s="82"/>
      <c r="AI131" s="83"/>
      <c r="AJ131" s="83"/>
      <c r="AK131" s="81"/>
      <c r="AL131" s="82"/>
      <c r="AM131" s="83"/>
      <c r="AN131" s="83"/>
      <c r="AO131" s="81"/>
      <c r="AP131" s="82"/>
      <c r="AQ131" s="83"/>
      <c r="AR131" s="83"/>
      <c r="AS131" s="81"/>
      <c r="AT131" s="82"/>
      <c r="AU131" s="83"/>
      <c r="AV131" s="83"/>
      <c r="AW131" s="83"/>
      <c r="AX131" s="84"/>
      <c r="AY131" s="82"/>
      <c r="AZ131" s="83"/>
      <c r="BA131" s="83"/>
      <c r="BB131" s="83"/>
      <c r="BC131" s="8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</row>
    <row r="132" spans="1:116" ht="12.75" customHeight="1" x14ac:dyDescent="0.2">
      <c r="A132" s="126">
        <v>8600</v>
      </c>
      <c r="B132" s="127"/>
      <c r="C132" s="58"/>
      <c r="D132" s="58" t="s">
        <v>103</v>
      </c>
      <c r="E132" s="58"/>
      <c r="F132" s="58"/>
      <c r="G132" s="58"/>
      <c r="H132" s="59"/>
      <c r="I132" s="126"/>
      <c r="J132" s="161"/>
      <c r="K132" s="128" t="s">
        <v>91</v>
      </c>
      <c r="L132" s="63"/>
      <c r="M132" s="63">
        <f t="shared" si="32"/>
        <v>0</v>
      </c>
      <c r="N132" s="63">
        <f>L132+M132</f>
        <v>0</v>
      </c>
      <c r="O132" s="64">
        <f>N132/50500000</f>
        <v>0</v>
      </c>
      <c r="P132" s="129"/>
      <c r="Q132" s="130"/>
      <c r="R132" s="318"/>
      <c r="S132" s="319"/>
      <c r="T132" s="86"/>
      <c r="U132" s="87"/>
      <c r="V132" s="88"/>
      <c r="W132" s="88"/>
      <c r="X132" s="88"/>
      <c r="Y132" s="86"/>
      <c r="Z132" s="87"/>
      <c r="AA132" s="88"/>
      <c r="AB132" s="88"/>
      <c r="AC132" s="86"/>
      <c r="AD132" s="87"/>
      <c r="AE132" s="88"/>
      <c r="AF132" s="88"/>
      <c r="AG132" s="86"/>
      <c r="AH132" s="87"/>
      <c r="AI132" s="88"/>
      <c r="AJ132" s="88"/>
      <c r="AK132" s="86"/>
      <c r="AL132" s="87"/>
      <c r="AM132" s="88"/>
      <c r="AN132" s="88"/>
      <c r="AO132" s="86">
        <f>O132/11</f>
        <v>0</v>
      </c>
      <c r="AP132" s="87">
        <f t="shared" ref="AP132:AY132" si="38">AO132</f>
        <v>0</v>
      </c>
      <c r="AQ132" s="87">
        <f t="shared" si="38"/>
        <v>0</v>
      </c>
      <c r="AR132" s="87">
        <f t="shared" si="38"/>
        <v>0</v>
      </c>
      <c r="AS132" s="87">
        <f t="shared" si="38"/>
        <v>0</v>
      </c>
      <c r="AT132" s="87">
        <f t="shared" si="38"/>
        <v>0</v>
      </c>
      <c r="AU132" s="87">
        <f t="shared" si="38"/>
        <v>0</v>
      </c>
      <c r="AV132" s="87">
        <f t="shared" si="38"/>
        <v>0</v>
      </c>
      <c r="AW132" s="87">
        <f t="shared" si="38"/>
        <v>0</v>
      </c>
      <c r="AX132" s="87">
        <f t="shared" si="38"/>
        <v>0</v>
      </c>
      <c r="AY132" s="87">
        <f t="shared" si="38"/>
        <v>0</v>
      </c>
      <c r="AZ132" s="88"/>
      <c r="BA132" s="88"/>
      <c r="BB132" s="88"/>
      <c r="BC132" s="86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</row>
    <row r="133" spans="1:116" ht="3.75" customHeight="1" x14ac:dyDescent="0.2">
      <c r="A133" s="104"/>
      <c r="B133" s="121"/>
      <c r="C133" s="106"/>
      <c r="D133" s="106"/>
      <c r="E133" s="106"/>
      <c r="F133" s="106"/>
      <c r="G133" s="106"/>
      <c r="H133" s="107"/>
      <c r="I133" s="122"/>
      <c r="J133" s="109"/>
      <c r="K133" s="123"/>
      <c r="L133" s="78"/>
      <c r="M133" s="63">
        <f t="shared" si="32"/>
        <v>0</v>
      </c>
      <c r="N133" s="63"/>
      <c r="O133" s="89"/>
      <c r="P133" s="131"/>
      <c r="Q133" s="132"/>
      <c r="R133" s="320"/>
      <c r="S133" s="321"/>
      <c r="T133" s="81"/>
      <c r="U133" s="82"/>
      <c r="V133" s="83"/>
      <c r="W133" s="83"/>
      <c r="X133" s="83"/>
      <c r="Y133" s="81"/>
      <c r="Z133" s="82"/>
      <c r="AA133" s="83"/>
      <c r="AB133" s="83"/>
      <c r="AC133" s="81"/>
      <c r="AD133" s="82"/>
      <c r="AE133" s="83"/>
      <c r="AF133" s="83"/>
      <c r="AG133" s="81"/>
      <c r="AH133" s="82"/>
      <c r="AI133" s="83"/>
      <c r="AJ133" s="83"/>
      <c r="AK133" s="81"/>
      <c r="AL133" s="82"/>
      <c r="AM133" s="83"/>
      <c r="AN133" s="83"/>
      <c r="AO133" s="81"/>
      <c r="AP133" s="82"/>
      <c r="AQ133" s="83"/>
      <c r="AR133" s="83"/>
      <c r="AS133" s="81"/>
      <c r="AT133" s="82"/>
      <c r="AU133" s="83"/>
      <c r="AV133" s="83"/>
      <c r="AW133" s="83"/>
      <c r="AX133" s="84"/>
      <c r="AY133" s="82"/>
      <c r="AZ133" s="83"/>
      <c r="BA133" s="83"/>
      <c r="BB133" s="83"/>
      <c r="BC133" s="8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</row>
    <row r="134" spans="1:116" ht="12.75" customHeight="1" x14ac:dyDescent="0.2">
      <c r="A134" s="126">
        <v>8700</v>
      </c>
      <c r="B134" s="127"/>
      <c r="C134" s="58" t="s">
        <v>104</v>
      </c>
      <c r="D134" s="58"/>
      <c r="E134" s="58"/>
      <c r="F134" s="58"/>
      <c r="G134" s="58"/>
      <c r="H134" s="59"/>
      <c r="I134" s="126"/>
      <c r="J134" s="161"/>
      <c r="K134" s="128"/>
      <c r="L134" s="63"/>
      <c r="M134" s="63">
        <f t="shared" si="32"/>
        <v>0</v>
      </c>
      <c r="N134" s="63"/>
      <c r="O134" s="64"/>
      <c r="P134" s="129"/>
      <c r="Q134" s="130"/>
      <c r="R134" s="318"/>
      <c r="S134" s="319"/>
      <c r="T134" s="86"/>
      <c r="U134" s="87"/>
      <c r="V134" s="88"/>
      <c r="W134" s="88"/>
      <c r="X134" s="88"/>
      <c r="Y134" s="86"/>
      <c r="Z134" s="87"/>
      <c r="AA134" s="88"/>
      <c r="AB134" s="88"/>
      <c r="AC134" s="86"/>
      <c r="AD134" s="87"/>
      <c r="AE134" s="88"/>
      <c r="AF134" s="88"/>
      <c r="AG134" s="86"/>
      <c r="AH134" s="87"/>
      <c r="AI134" s="88"/>
      <c r="AJ134" s="88"/>
      <c r="AK134" s="86"/>
      <c r="AL134" s="87"/>
      <c r="AM134" s="88"/>
      <c r="AN134" s="88"/>
      <c r="AO134" s="86"/>
      <c r="AP134" s="87"/>
      <c r="AQ134" s="88"/>
      <c r="AR134" s="88"/>
      <c r="AS134" s="86"/>
      <c r="AT134" s="87"/>
      <c r="AU134" s="88"/>
      <c r="AV134" s="88"/>
      <c r="AW134" s="88"/>
      <c r="AX134" s="70"/>
      <c r="AY134" s="87"/>
      <c r="AZ134" s="88"/>
      <c r="BA134" s="88"/>
      <c r="BB134" s="88"/>
      <c r="BC134" s="86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</row>
    <row r="135" spans="1:116" ht="3.75" customHeight="1" x14ac:dyDescent="0.2">
      <c r="A135" s="104"/>
      <c r="B135" s="121"/>
      <c r="C135" s="106"/>
      <c r="D135" s="106"/>
      <c r="E135" s="106"/>
      <c r="F135" s="106"/>
      <c r="G135" s="106"/>
      <c r="H135" s="107"/>
      <c r="I135" s="122"/>
      <c r="J135" s="109"/>
      <c r="K135" s="123"/>
      <c r="L135" s="78"/>
      <c r="M135" s="63">
        <f t="shared" si="32"/>
        <v>0</v>
      </c>
      <c r="N135" s="63"/>
      <c r="O135" s="89"/>
      <c r="P135" s="131"/>
      <c r="Q135" s="132"/>
      <c r="R135" s="320"/>
      <c r="S135" s="321"/>
      <c r="T135" s="81"/>
      <c r="U135" s="82"/>
      <c r="V135" s="83"/>
      <c r="W135" s="83"/>
      <c r="X135" s="83"/>
      <c r="Y135" s="81"/>
      <c r="Z135" s="82"/>
      <c r="AA135" s="83"/>
      <c r="AB135" s="83"/>
      <c r="AC135" s="81"/>
      <c r="AD135" s="82"/>
      <c r="AE135" s="83"/>
      <c r="AF135" s="83"/>
      <c r="AG135" s="81"/>
      <c r="AH135" s="82"/>
      <c r="AI135" s="83"/>
      <c r="AJ135" s="83"/>
      <c r="AK135" s="81"/>
      <c r="AL135" s="82"/>
      <c r="AM135" s="83"/>
      <c r="AN135" s="83"/>
      <c r="AO135" s="81"/>
      <c r="AP135" s="82"/>
      <c r="AQ135" s="83"/>
      <c r="AR135" s="83"/>
      <c r="AS135" s="81"/>
      <c r="AT135" s="82"/>
      <c r="AU135" s="83"/>
      <c r="AV135" s="83"/>
      <c r="AW135" s="83"/>
      <c r="AX135" s="84"/>
      <c r="AY135" s="82"/>
      <c r="AZ135" s="83"/>
      <c r="BA135" s="83"/>
      <c r="BB135" s="83"/>
      <c r="BC135" s="8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</row>
    <row r="136" spans="1:116" ht="12.75" customHeight="1" x14ac:dyDescent="0.2">
      <c r="A136" s="56">
        <v>8710</v>
      </c>
      <c r="B136" s="127"/>
      <c r="C136" s="58"/>
      <c r="D136" s="58" t="s">
        <v>105</v>
      </c>
      <c r="E136" s="58"/>
      <c r="F136" s="58"/>
      <c r="G136" s="58"/>
      <c r="H136" s="59"/>
      <c r="I136" s="126"/>
      <c r="J136" s="161"/>
      <c r="K136" s="128"/>
      <c r="L136" s="63"/>
      <c r="M136" s="63">
        <f t="shared" si="32"/>
        <v>0</v>
      </c>
      <c r="N136" s="63">
        <f>L136+M136</f>
        <v>0</v>
      </c>
      <c r="O136" s="64">
        <f>N136/50500000</f>
        <v>0</v>
      </c>
      <c r="P136" s="129"/>
      <c r="Q136" s="130"/>
      <c r="R136" s="318"/>
      <c r="S136" s="319"/>
      <c r="T136" s="86"/>
      <c r="U136" s="87"/>
      <c r="V136" s="88"/>
      <c r="W136" s="88"/>
      <c r="X136" s="88"/>
      <c r="Y136" s="86"/>
      <c r="Z136" s="87"/>
      <c r="AA136" s="88"/>
      <c r="AB136" s="88"/>
      <c r="AC136" s="86"/>
      <c r="AD136" s="87"/>
      <c r="AE136" s="88"/>
      <c r="AF136" s="88"/>
      <c r="AG136" s="86"/>
      <c r="AH136" s="87"/>
      <c r="AI136" s="88"/>
      <c r="AJ136" s="88"/>
      <c r="AK136" s="86">
        <f>O136/15</f>
        <v>0</v>
      </c>
      <c r="AL136" s="87">
        <f t="shared" ref="AL136:AY136" si="39">AK136</f>
        <v>0</v>
      </c>
      <c r="AM136" s="87">
        <f t="shared" si="39"/>
        <v>0</v>
      </c>
      <c r="AN136" s="87">
        <f t="shared" si="39"/>
        <v>0</v>
      </c>
      <c r="AO136" s="87">
        <f t="shared" si="39"/>
        <v>0</v>
      </c>
      <c r="AP136" s="87">
        <f t="shared" si="39"/>
        <v>0</v>
      </c>
      <c r="AQ136" s="87">
        <f t="shared" si="39"/>
        <v>0</v>
      </c>
      <c r="AR136" s="87">
        <f t="shared" si="39"/>
        <v>0</v>
      </c>
      <c r="AS136" s="87">
        <f t="shared" si="39"/>
        <v>0</v>
      </c>
      <c r="AT136" s="87">
        <f t="shared" si="39"/>
        <v>0</v>
      </c>
      <c r="AU136" s="87">
        <f t="shared" si="39"/>
        <v>0</v>
      </c>
      <c r="AV136" s="87">
        <f t="shared" si="39"/>
        <v>0</v>
      </c>
      <c r="AW136" s="87">
        <f t="shared" si="39"/>
        <v>0</v>
      </c>
      <c r="AX136" s="87">
        <f t="shared" si="39"/>
        <v>0</v>
      </c>
      <c r="AY136" s="87">
        <f t="shared" si="39"/>
        <v>0</v>
      </c>
      <c r="AZ136" s="88"/>
      <c r="BA136" s="88"/>
      <c r="BB136" s="88"/>
      <c r="BC136" s="86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</row>
    <row r="137" spans="1:116" ht="3.75" customHeight="1" x14ac:dyDescent="0.2">
      <c r="A137" s="104"/>
      <c r="B137" s="121"/>
      <c r="C137" s="106"/>
      <c r="D137" s="106"/>
      <c r="E137" s="106"/>
      <c r="F137" s="106"/>
      <c r="G137" s="106"/>
      <c r="H137" s="107"/>
      <c r="I137" s="122"/>
      <c r="J137" s="109"/>
      <c r="K137" s="123"/>
      <c r="L137" s="78"/>
      <c r="M137" s="63">
        <f t="shared" si="32"/>
        <v>0</v>
      </c>
      <c r="N137" s="63"/>
      <c r="O137" s="89"/>
      <c r="P137" s="131"/>
      <c r="Q137" s="132"/>
      <c r="R137" s="320"/>
      <c r="S137" s="321"/>
      <c r="T137" s="81"/>
      <c r="U137" s="82"/>
      <c r="V137" s="83"/>
      <c r="W137" s="83"/>
      <c r="X137" s="83"/>
      <c r="Y137" s="81"/>
      <c r="Z137" s="82"/>
      <c r="AA137" s="83"/>
      <c r="AB137" s="83"/>
      <c r="AC137" s="81"/>
      <c r="AD137" s="82"/>
      <c r="AE137" s="83"/>
      <c r="AF137" s="83"/>
      <c r="AG137" s="81"/>
      <c r="AH137" s="82"/>
      <c r="AI137" s="83"/>
      <c r="AJ137" s="83"/>
      <c r="AK137" s="81"/>
      <c r="AL137" s="82"/>
      <c r="AM137" s="83"/>
      <c r="AN137" s="83"/>
      <c r="AO137" s="81"/>
      <c r="AP137" s="82"/>
      <c r="AQ137" s="83"/>
      <c r="AR137" s="83"/>
      <c r="AS137" s="81"/>
      <c r="AT137" s="82"/>
      <c r="AU137" s="83"/>
      <c r="AV137" s="83"/>
      <c r="AW137" s="83"/>
      <c r="AX137" s="84"/>
      <c r="AY137" s="82"/>
      <c r="AZ137" s="83"/>
      <c r="BA137" s="83"/>
      <c r="BB137" s="83"/>
      <c r="BC137" s="8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</row>
    <row r="138" spans="1:116" ht="12.75" customHeight="1" x14ac:dyDescent="0.2">
      <c r="A138" s="56">
        <v>8720</v>
      </c>
      <c r="B138" s="127"/>
      <c r="C138" s="58"/>
      <c r="D138" s="58" t="s">
        <v>106</v>
      </c>
      <c r="E138" s="58"/>
      <c r="F138" s="58"/>
      <c r="G138" s="58"/>
      <c r="H138" s="59"/>
      <c r="I138" s="126"/>
      <c r="J138" s="161"/>
      <c r="K138" s="128"/>
      <c r="L138" s="63"/>
      <c r="M138" s="63">
        <f t="shared" si="32"/>
        <v>0</v>
      </c>
      <c r="N138" s="63">
        <f>L138+M138</f>
        <v>0</v>
      </c>
      <c r="O138" s="64">
        <f>N138/50500000</f>
        <v>0</v>
      </c>
      <c r="P138" s="129"/>
      <c r="Q138" s="130"/>
      <c r="R138" s="318"/>
      <c r="S138" s="319"/>
      <c r="T138" s="86"/>
      <c r="U138" s="87"/>
      <c r="V138" s="88"/>
      <c r="W138" s="88"/>
      <c r="X138" s="88"/>
      <c r="Y138" s="86"/>
      <c r="Z138" s="87"/>
      <c r="AA138" s="88"/>
      <c r="AB138" s="88"/>
      <c r="AC138" s="86"/>
      <c r="AD138" s="87"/>
      <c r="AE138" s="88"/>
      <c r="AF138" s="88"/>
      <c r="AG138" s="86"/>
      <c r="AH138" s="87"/>
      <c r="AI138" s="88"/>
      <c r="AJ138" s="88"/>
      <c r="AK138" s="86"/>
      <c r="AL138" s="87"/>
      <c r="AM138" s="88"/>
      <c r="AN138" s="88"/>
      <c r="AO138" s="86">
        <f>O138/12</f>
        <v>0</v>
      </c>
      <c r="AP138" s="87">
        <f t="shared" ref="AP138:AZ138" si="40">AO138</f>
        <v>0</v>
      </c>
      <c r="AQ138" s="87">
        <f t="shared" si="40"/>
        <v>0</v>
      </c>
      <c r="AR138" s="87">
        <f t="shared" si="40"/>
        <v>0</v>
      </c>
      <c r="AS138" s="87">
        <f t="shared" si="40"/>
        <v>0</v>
      </c>
      <c r="AT138" s="87">
        <f t="shared" si="40"/>
        <v>0</v>
      </c>
      <c r="AU138" s="87">
        <f t="shared" si="40"/>
        <v>0</v>
      </c>
      <c r="AV138" s="87">
        <f t="shared" si="40"/>
        <v>0</v>
      </c>
      <c r="AW138" s="87">
        <f t="shared" si="40"/>
        <v>0</v>
      </c>
      <c r="AX138" s="87">
        <f t="shared" si="40"/>
        <v>0</v>
      </c>
      <c r="AY138" s="87">
        <f t="shared" si="40"/>
        <v>0</v>
      </c>
      <c r="AZ138" s="87">
        <f t="shared" si="40"/>
        <v>0</v>
      </c>
      <c r="BA138" s="88"/>
      <c r="BB138" s="88"/>
      <c r="BC138" s="86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</row>
    <row r="139" spans="1:116" ht="3.75" customHeight="1" x14ac:dyDescent="0.2">
      <c r="A139" s="104"/>
      <c r="B139" s="121"/>
      <c r="C139" s="106"/>
      <c r="D139" s="106"/>
      <c r="E139" s="106"/>
      <c r="F139" s="106"/>
      <c r="G139" s="106"/>
      <c r="H139" s="107"/>
      <c r="I139" s="122"/>
      <c r="J139" s="109"/>
      <c r="K139" s="123"/>
      <c r="L139" s="78"/>
      <c r="M139" s="63">
        <f t="shared" si="32"/>
        <v>0</v>
      </c>
      <c r="N139" s="63"/>
      <c r="O139" s="89"/>
      <c r="P139" s="131"/>
      <c r="Q139" s="132"/>
      <c r="R139" s="320"/>
      <c r="S139" s="321"/>
      <c r="T139" s="81"/>
      <c r="U139" s="82"/>
      <c r="V139" s="83"/>
      <c r="W139" s="83"/>
      <c r="X139" s="83"/>
      <c r="Y139" s="81"/>
      <c r="Z139" s="82"/>
      <c r="AA139" s="83"/>
      <c r="AB139" s="83"/>
      <c r="AC139" s="81"/>
      <c r="AD139" s="82"/>
      <c r="AE139" s="83"/>
      <c r="AF139" s="83"/>
      <c r="AG139" s="81"/>
      <c r="AH139" s="82"/>
      <c r="AI139" s="83"/>
      <c r="AJ139" s="83"/>
      <c r="AK139" s="81"/>
      <c r="AL139" s="82"/>
      <c r="AM139" s="83"/>
      <c r="AN139" s="83"/>
      <c r="AO139" s="81"/>
      <c r="AP139" s="82"/>
      <c r="AQ139" s="83"/>
      <c r="AR139" s="83"/>
      <c r="AS139" s="81"/>
      <c r="AT139" s="82"/>
      <c r="AU139" s="83"/>
      <c r="AV139" s="83"/>
      <c r="AW139" s="83"/>
      <c r="AX139" s="84"/>
      <c r="AY139" s="82"/>
      <c r="AZ139" s="83"/>
      <c r="BA139" s="83"/>
      <c r="BB139" s="83"/>
      <c r="BC139" s="8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</row>
    <row r="140" spans="1:116" ht="12.75" customHeight="1" x14ac:dyDescent="0.2">
      <c r="A140" s="56">
        <v>8730</v>
      </c>
      <c r="B140" s="127"/>
      <c r="C140" s="58"/>
      <c r="D140" s="58" t="s">
        <v>107</v>
      </c>
      <c r="E140" s="58"/>
      <c r="F140" s="58"/>
      <c r="G140" s="58"/>
      <c r="H140" s="59"/>
      <c r="I140" s="126"/>
      <c r="J140" s="161"/>
      <c r="K140" s="128"/>
      <c r="L140" s="63"/>
      <c r="M140" s="63">
        <f t="shared" si="32"/>
        <v>0</v>
      </c>
      <c r="N140" s="63">
        <f>L140+M140</f>
        <v>0</v>
      </c>
      <c r="O140" s="64">
        <f>N140/50500000</f>
        <v>0</v>
      </c>
      <c r="P140" s="129"/>
      <c r="Q140" s="130"/>
      <c r="R140" s="318"/>
      <c r="S140" s="319"/>
      <c r="T140" s="86"/>
      <c r="U140" s="87"/>
      <c r="V140" s="88"/>
      <c r="W140" s="88"/>
      <c r="X140" s="88"/>
      <c r="Y140" s="86"/>
      <c r="Z140" s="87"/>
      <c r="AA140" s="88"/>
      <c r="AB140" s="88"/>
      <c r="AC140" s="86"/>
      <c r="AD140" s="87"/>
      <c r="AE140" s="88"/>
      <c r="AF140" s="88"/>
      <c r="AG140" s="86"/>
      <c r="AH140" s="87"/>
      <c r="AI140" s="88"/>
      <c r="AJ140" s="88"/>
      <c r="AK140" s="86"/>
      <c r="AL140" s="87"/>
      <c r="AM140" s="88"/>
      <c r="AN140" s="88"/>
      <c r="AO140" s="86"/>
      <c r="AP140" s="87"/>
      <c r="AQ140" s="88"/>
      <c r="AR140" s="88"/>
      <c r="AS140" s="86"/>
      <c r="AT140" s="87">
        <f>O140/7</f>
        <v>0</v>
      </c>
      <c r="AU140" s="88">
        <f t="shared" ref="AU140:AZ140" si="41">AT140</f>
        <v>0</v>
      </c>
      <c r="AV140" s="88">
        <f t="shared" si="41"/>
        <v>0</v>
      </c>
      <c r="AW140" s="88">
        <f t="shared" si="41"/>
        <v>0</v>
      </c>
      <c r="AX140" s="88">
        <f t="shared" si="41"/>
        <v>0</v>
      </c>
      <c r="AY140" s="88">
        <f t="shared" si="41"/>
        <v>0</v>
      </c>
      <c r="AZ140" s="88">
        <f t="shared" si="41"/>
        <v>0</v>
      </c>
      <c r="BA140" s="88"/>
      <c r="BB140" s="88"/>
      <c r="BC140" s="86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</row>
    <row r="141" spans="1:116" ht="3.75" customHeight="1" x14ac:dyDescent="0.2">
      <c r="A141" s="122"/>
      <c r="B141" s="121"/>
      <c r="C141" s="106"/>
      <c r="D141" s="106"/>
      <c r="E141" s="106"/>
      <c r="F141" s="106"/>
      <c r="G141" s="106"/>
      <c r="H141" s="107"/>
      <c r="I141" s="122"/>
      <c r="J141" s="109"/>
      <c r="K141" s="123"/>
      <c r="L141" s="78"/>
      <c r="M141" s="63">
        <f t="shared" si="32"/>
        <v>0</v>
      </c>
      <c r="N141" s="63"/>
      <c r="O141" s="89"/>
      <c r="P141" s="131"/>
      <c r="Q141" s="132"/>
      <c r="R141" s="320"/>
      <c r="S141" s="321"/>
      <c r="T141" s="81"/>
      <c r="U141" s="82"/>
      <c r="V141" s="83"/>
      <c r="W141" s="83"/>
      <c r="X141" s="83"/>
      <c r="Y141" s="81"/>
      <c r="Z141" s="82"/>
      <c r="AA141" s="83"/>
      <c r="AB141" s="83"/>
      <c r="AC141" s="81"/>
      <c r="AD141" s="82"/>
      <c r="AE141" s="83"/>
      <c r="AF141" s="83"/>
      <c r="AG141" s="81"/>
      <c r="AH141" s="82"/>
      <c r="AI141" s="83"/>
      <c r="AJ141" s="83"/>
      <c r="AK141" s="81"/>
      <c r="AL141" s="82"/>
      <c r="AM141" s="83"/>
      <c r="AN141" s="83"/>
      <c r="AO141" s="81"/>
      <c r="AP141" s="82"/>
      <c r="AQ141" s="83"/>
      <c r="AR141" s="83"/>
      <c r="AS141" s="81"/>
      <c r="AT141" s="82"/>
      <c r="AU141" s="83"/>
      <c r="AV141" s="83"/>
      <c r="AW141" s="83"/>
      <c r="AX141" s="84"/>
      <c r="AY141" s="82"/>
      <c r="AZ141" s="83"/>
      <c r="BA141" s="83"/>
      <c r="BB141" s="83"/>
      <c r="BC141" s="8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</row>
    <row r="142" spans="1:116" ht="12.75" customHeight="1" x14ac:dyDescent="0.2">
      <c r="A142" s="126">
        <v>8800</v>
      </c>
      <c r="B142" s="127"/>
      <c r="C142" s="58" t="s">
        <v>108</v>
      </c>
      <c r="D142" s="58"/>
      <c r="E142" s="58"/>
      <c r="F142" s="58"/>
      <c r="G142" s="58"/>
      <c r="H142" s="59"/>
      <c r="I142" s="126"/>
      <c r="J142" s="161"/>
      <c r="K142" s="128"/>
      <c r="L142" s="63"/>
      <c r="M142" s="63">
        <f t="shared" si="32"/>
        <v>0</v>
      </c>
      <c r="N142" s="63"/>
      <c r="O142" s="64"/>
      <c r="P142" s="129"/>
      <c r="Q142" s="130"/>
      <c r="R142" s="318"/>
      <c r="S142" s="319"/>
      <c r="T142" s="86"/>
      <c r="U142" s="87"/>
      <c r="V142" s="88"/>
      <c r="W142" s="88"/>
      <c r="X142" s="88"/>
      <c r="Y142" s="86"/>
      <c r="Z142" s="87"/>
      <c r="AA142" s="88"/>
      <c r="AB142" s="88"/>
      <c r="AC142" s="86"/>
      <c r="AD142" s="87"/>
      <c r="AE142" s="88"/>
      <c r="AF142" s="88"/>
      <c r="AG142" s="86"/>
      <c r="AH142" s="87"/>
      <c r="AI142" s="88"/>
      <c r="AJ142" s="88"/>
      <c r="AK142" s="86"/>
      <c r="AL142" s="87"/>
      <c r="AM142" s="88"/>
      <c r="AN142" s="88"/>
      <c r="AO142" s="86"/>
      <c r="AP142" s="87"/>
      <c r="AQ142" s="88"/>
      <c r="AR142" s="88"/>
      <c r="AS142" s="86"/>
      <c r="AT142" s="87"/>
      <c r="AU142" s="88"/>
      <c r="AV142" s="88"/>
      <c r="AW142" s="88"/>
      <c r="AX142" s="70"/>
      <c r="AY142" s="87"/>
      <c r="AZ142" s="88"/>
      <c r="BA142" s="88"/>
      <c r="BB142" s="88"/>
      <c r="BC142" s="86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</row>
    <row r="143" spans="1:116" ht="3.75" customHeight="1" x14ac:dyDescent="0.2">
      <c r="A143" s="122"/>
      <c r="B143" s="121"/>
      <c r="C143" s="106"/>
      <c r="D143" s="106"/>
      <c r="E143" s="106"/>
      <c r="F143" s="106"/>
      <c r="G143" s="106"/>
      <c r="H143" s="107"/>
      <c r="I143" s="122"/>
      <c r="J143" s="109"/>
      <c r="K143" s="123"/>
      <c r="L143" s="78"/>
      <c r="M143" s="63">
        <f t="shared" si="32"/>
        <v>0</v>
      </c>
      <c r="N143" s="63"/>
      <c r="O143" s="89"/>
      <c r="P143" s="131"/>
      <c r="Q143" s="132"/>
      <c r="R143" s="320"/>
      <c r="S143" s="321"/>
      <c r="T143" s="81"/>
      <c r="U143" s="82"/>
      <c r="V143" s="83"/>
      <c r="W143" s="83"/>
      <c r="X143" s="83"/>
      <c r="Y143" s="81"/>
      <c r="Z143" s="82"/>
      <c r="AA143" s="83"/>
      <c r="AB143" s="83"/>
      <c r="AC143" s="81"/>
      <c r="AD143" s="82"/>
      <c r="AE143" s="83"/>
      <c r="AF143" s="83"/>
      <c r="AG143" s="81"/>
      <c r="AH143" s="82"/>
      <c r="AI143" s="83"/>
      <c r="AJ143" s="83"/>
      <c r="AK143" s="81"/>
      <c r="AL143" s="82"/>
      <c r="AM143" s="83"/>
      <c r="AN143" s="83"/>
      <c r="AO143" s="81"/>
      <c r="AP143" s="82"/>
      <c r="AQ143" s="83"/>
      <c r="AR143" s="83"/>
      <c r="AS143" s="81"/>
      <c r="AT143" s="82"/>
      <c r="AU143" s="83"/>
      <c r="AV143" s="83"/>
      <c r="AW143" s="83"/>
      <c r="AX143" s="84"/>
      <c r="AY143" s="82"/>
      <c r="AZ143" s="83"/>
      <c r="BA143" s="83"/>
      <c r="BB143" s="83"/>
      <c r="BC143" s="8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</row>
    <row r="144" spans="1:116" ht="12.75" customHeight="1" x14ac:dyDescent="0.2">
      <c r="A144" s="126">
        <v>8900</v>
      </c>
      <c r="B144" s="127"/>
      <c r="C144" s="58"/>
      <c r="D144" s="58" t="s">
        <v>109</v>
      </c>
      <c r="E144" s="58"/>
      <c r="F144" s="58"/>
      <c r="G144" s="58"/>
      <c r="H144" s="59"/>
      <c r="I144" s="126"/>
      <c r="J144" s="161"/>
      <c r="K144" s="128"/>
      <c r="L144" s="63"/>
      <c r="M144" s="63">
        <f t="shared" si="32"/>
        <v>0</v>
      </c>
      <c r="N144" s="63">
        <f>L144+M144</f>
        <v>0</v>
      </c>
      <c r="O144" s="64">
        <f>N144/50500000</f>
        <v>0</v>
      </c>
      <c r="P144" s="129"/>
      <c r="Q144" s="130"/>
      <c r="R144" s="318"/>
      <c r="S144" s="319"/>
      <c r="T144" s="86"/>
      <c r="U144" s="87"/>
      <c r="V144" s="88"/>
      <c r="W144" s="88"/>
      <c r="X144" s="88"/>
      <c r="Y144" s="86"/>
      <c r="Z144" s="87"/>
      <c r="AA144" s="88"/>
      <c r="AB144" s="88"/>
      <c r="AC144" s="86"/>
      <c r="AD144" s="87"/>
      <c r="AE144" s="88"/>
      <c r="AF144" s="88"/>
      <c r="AG144" s="86"/>
      <c r="AH144" s="87"/>
      <c r="AI144" s="88"/>
      <c r="AJ144" s="88"/>
      <c r="AK144" s="86"/>
      <c r="AL144" s="87"/>
      <c r="AM144" s="88"/>
      <c r="AN144" s="88"/>
      <c r="AO144" s="86"/>
      <c r="AP144" s="87">
        <f>O144/6</f>
        <v>0</v>
      </c>
      <c r="AQ144" s="88">
        <f t="shared" ref="AQ144:AU144" si="42">AP144</f>
        <v>0</v>
      </c>
      <c r="AR144" s="88">
        <f t="shared" si="42"/>
        <v>0</v>
      </c>
      <c r="AS144" s="88">
        <f t="shared" si="42"/>
        <v>0</v>
      </c>
      <c r="AT144" s="88">
        <f t="shared" si="42"/>
        <v>0</v>
      </c>
      <c r="AU144" s="88">
        <f t="shared" si="42"/>
        <v>0</v>
      </c>
      <c r="AV144" s="88"/>
      <c r="AW144" s="88"/>
      <c r="AX144" s="70"/>
      <c r="AY144" s="87"/>
      <c r="AZ144" s="88"/>
      <c r="BA144" s="88"/>
      <c r="BB144" s="88"/>
      <c r="BC144" s="86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</row>
    <row r="145" spans="1:116" ht="3.75" customHeight="1" x14ac:dyDescent="0.2">
      <c r="A145" s="122"/>
      <c r="B145" s="121"/>
      <c r="C145" s="106"/>
      <c r="D145" s="106"/>
      <c r="E145" s="106"/>
      <c r="F145" s="106"/>
      <c r="G145" s="106"/>
      <c r="H145" s="107"/>
      <c r="I145" s="122"/>
      <c r="J145" s="109"/>
      <c r="K145" s="123"/>
      <c r="L145" s="78"/>
      <c r="M145" s="63">
        <f t="shared" si="32"/>
        <v>0</v>
      </c>
      <c r="N145" s="63"/>
      <c r="O145" s="89"/>
      <c r="P145" s="131"/>
      <c r="Q145" s="132"/>
      <c r="R145" s="320"/>
      <c r="S145" s="321"/>
      <c r="T145" s="81"/>
      <c r="U145" s="82"/>
      <c r="V145" s="83"/>
      <c r="W145" s="83"/>
      <c r="X145" s="83"/>
      <c r="Y145" s="81"/>
      <c r="Z145" s="82"/>
      <c r="AA145" s="83"/>
      <c r="AB145" s="83"/>
      <c r="AC145" s="81"/>
      <c r="AD145" s="82"/>
      <c r="AE145" s="83"/>
      <c r="AF145" s="83"/>
      <c r="AG145" s="81"/>
      <c r="AH145" s="82"/>
      <c r="AI145" s="83"/>
      <c r="AJ145" s="83"/>
      <c r="AK145" s="81"/>
      <c r="AL145" s="82"/>
      <c r="AM145" s="83"/>
      <c r="AN145" s="83"/>
      <c r="AO145" s="81"/>
      <c r="AP145" s="82"/>
      <c r="AQ145" s="83"/>
      <c r="AR145" s="83"/>
      <c r="AS145" s="81"/>
      <c r="AT145" s="82"/>
      <c r="AU145" s="83"/>
      <c r="AV145" s="83"/>
      <c r="AW145" s="83"/>
      <c r="AX145" s="84"/>
      <c r="AY145" s="82"/>
      <c r="AZ145" s="83"/>
      <c r="BA145" s="83"/>
      <c r="BB145" s="83"/>
      <c r="BC145" s="8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</row>
    <row r="146" spans="1:116" ht="12.75" customHeight="1" x14ac:dyDescent="0.2">
      <c r="A146" s="126">
        <v>8910</v>
      </c>
      <c r="B146" s="127"/>
      <c r="C146" s="58"/>
      <c r="D146" s="58" t="s">
        <v>110</v>
      </c>
      <c r="E146" s="58"/>
      <c r="F146" s="58"/>
      <c r="G146" s="58"/>
      <c r="H146" s="59"/>
      <c r="I146" s="126"/>
      <c r="J146" s="161"/>
      <c r="K146" s="128"/>
      <c r="L146" s="63"/>
      <c r="M146" s="63">
        <f t="shared" si="32"/>
        <v>0</v>
      </c>
      <c r="N146" s="63">
        <f>L146+M146</f>
        <v>0</v>
      </c>
      <c r="O146" s="64">
        <f>N146/50500000</f>
        <v>0</v>
      </c>
      <c r="P146" s="129"/>
      <c r="Q146" s="130"/>
      <c r="R146" s="318"/>
      <c r="S146" s="319"/>
      <c r="T146" s="86"/>
      <c r="U146" s="87"/>
      <c r="V146" s="88"/>
      <c r="W146" s="88"/>
      <c r="X146" s="88"/>
      <c r="Y146" s="86"/>
      <c r="Z146" s="87"/>
      <c r="AA146" s="88"/>
      <c r="AB146" s="88"/>
      <c r="AC146" s="86"/>
      <c r="AD146" s="87"/>
      <c r="AE146" s="88"/>
      <c r="AF146" s="88"/>
      <c r="AG146" s="86"/>
      <c r="AH146" s="87"/>
      <c r="AI146" s="88"/>
      <c r="AJ146" s="88"/>
      <c r="AK146" s="86"/>
      <c r="AL146" s="87"/>
      <c r="AM146" s="88"/>
      <c r="AN146" s="88"/>
      <c r="AO146" s="86"/>
      <c r="AP146" s="87"/>
      <c r="AQ146" s="88"/>
      <c r="AR146" s="88">
        <f>O146/4</f>
        <v>0</v>
      </c>
      <c r="AS146" s="86">
        <f t="shared" ref="AS146:AU146" si="43">AR146</f>
        <v>0</v>
      </c>
      <c r="AT146" s="86">
        <f t="shared" si="43"/>
        <v>0</v>
      </c>
      <c r="AU146" s="86">
        <f t="shared" si="43"/>
        <v>0</v>
      </c>
      <c r="AV146" s="88"/>
      <c r="AW146" s="88"/>
      <c r="AX146" s="86"/>
      <c r="AY146" s="87"/>
      <c r="AZ146" s="88"/>
      <c r="BA146" s="88"/>
      <c r="BB146" s="88"/>
      <c r="BC146" s="86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</row>
    <row r="147" spans="1:116" ht="3.75" customHeight="1" x14ac:dyDescent="0.2">
      <c r="A147" s="122"/>
      <c r="B147" s="121"/>
      <c r="C147" s="106"/>
      <c r="D147" s="106"/>
      <c r="E147" s="106"/>
      <c r="F147" s="106"/>
      <c r="G147" s="106"/>
      <c r="H147" s="107"/>
      <c r="I147" s="122"/>
      <c r="J147" s="109"/>
      <c r="K147" s="123"/>
      <c r="L147" s="78"/>
      <c r="M147" s="63">
        <f t="shared" si="32"/>
        <v>0</v>
      </c>
      <c r="N147" s="63"/>
      <c r="O147" s="89"/>
      <c r="P147" s="131"/>
      <c r="Q147" s="132"/>
      <c r="R147" s="320"/>
      <c r="S147" s="321"/>
      <c r="T147" s="81"/>
      <c r="U147" s="82"/>
      <c r="V147" s="83"/>
      <c r="W147" s="83"/>
      <c r="X147" s="83"/>
      <c r="Y147" s="81"/>
      <c r="Z147" s="82"/>
      <c r="AA147" s="83"/>
      <c r="AB147" s="83"/>
      <c r="AC147" s="81"/>
      <c r="AD147" s="82"/>
      <c r="AE147" s="83"/>
      <c r="AF147" s="83"/>
      <c r="AG147" s="81"/>
      <c r="AH147" s="82"/>
      <c r="AI147" s="83"/>
      <c r="AJ147" s="83"/>
      <c r="AK147" s="81"/>
      <c r="AL147" s="82"/>
      <c r="AM147" s="83"/>
      <c r="AN147" s="83"/>
      <c r="AO147" s="81"/>
      <c r="AP147" s="82"/>
      <c r="AQ147" s="83"/>
      <c r="AR147" s="83"/>
      <c r="AS147" s="81"/>
      <c r="AT147" s="82"/>
      <c r="AU147" s="83"/>
      <c r="AV147" s="83"/>
      <c r="AW147" s="83"/>
      <c r="AX147" s="84"/>
      <c r="AY147" s="82"/>
      <c r="AZ147" s="83"/>
      <c r="BA147" s="83"/>
      <c r="BB147" s="83"/>
      <c r="BC147" s="8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</row>
    <row r="148" spans="1:116" ht="12.75" customHeight="1" x14ac:dyDescent="0.2">
      <c r="A148" s="24">
        <v>9000</v>
      </c>
      <c r="B148" s="25" t="s">
        <v>111</v>
      </c>
      <c r="C148" s="94"/>
      <c r="D148" s="94"/>
      <c r="E148" s="94"/>
      <c r="F148" s="94"/>
      <c r="G148" s="94"/>
      <c r="H148" s="95"/>
      <c r="I148" s="28"/>
      <c r="J148" s="29"/>
      <c r="K148" s="30"/>
      <c r="L148" s="31"/>
      <c r="M148" s="31"/>
      <c r="N148" s="33"/>
      <c r="O148" s="33"/>
      <c r="P148" s="98"/>
      <c r="Q148" s="99"/>
      <c r="R148" s="327"/>
      <c r="S148" s="315"/>
      <c r="T148" s="100"/>
      <c r="U148" s="101"/>
      <c r="V148" s="102"/>
      <c r="W148" s="102"/>
      <c r="X148" s="102"/>
      <c r="Y148" s="100"/>
      <c r="Z148" s="101"/>
      <c r="AA148" s="102"/>
      <c r="AB148" s="102"/>
      <c r="AC148" s="100"/>
      <c r="AD148" s="101"/>
      <c r="AE148" s="102"/>
      <c r="AF148" s="102"/>
      <c r="AG148" s="100"/>
      <c r="AH148" s="101"/>
      <c r="AI148" s="102"/>
      <c r="AJ148" s="102"/>
      <c r="AK148" s="100"/>
      <c r="AL148" s="101"/>
      <c r="AM148" s="102"/>
      <c r="AN148" s="102"/>
      <c r="AO148" s="100"/>
      <c r="AP148" s="101"/>
      <c r="AQ148" s="102"/>
      <c r="AR148" s="102"/>
      <c r="AS148" s="100"/>
      <c r="AT148" s="101"/>
      <c r="AU148" s="102"/>
      <c r="AV148" s="102"/>
      <c r="AW148" s="102"/>
      <c r="AX148" s="103"/>
      <c r="AY148" s="101"/>
      <c r="AZ148" s="102"/>
      <c r="BA148" s="102"/>
      <c r="BB148" s="102"/>
      <c r="BC148" s="100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</row>
    <row r="149" spans="1:116" ht="3.75" customHeight="1" x14ac:dyDescent="0.2">
      <c r="A149" s="56"/>
      <c r="B149" s="127"/>
      <c r="C149" s="58"/>
      <c r="D149" s="58"/>
      <c r="E149" s="58"/>
      <c r="F149" s="58"/>
      <c r="G149" s="58"/>
      <c r="H149" s="59"/>
      <c r="I149" s="126"/>
      <c r="J149" s="161"/>
      <c r="K149" s="128"/>
      <c r="L149" s="63"/>
      <c r="M149" s="63">
        <f t="shared" ref="M149:M153" si="44">L149*4260501/50500000</f>
        <v>0</v>
      </c>
      <c r="N149" s="63"/>
      <c r="O149" s="64"/>
      <c r="P149" s="129"/>
      <c r="Q149" s="130"/>
      <c r="R149" s="318"/>
      <c r="S149" s="319"/>
      <c r="T149" s="86"/>
      <c r="U149" s="87"/>
      <c r="V149" s="88"/>
      <c r="W149" s="88"/>
      <c r="X149" s="88"/>
      <c r="Y149" s="86"/>
      <c r="Z149" s="87"/>
      <c r="AA149" s="88"/>
      <c r="AB149" s="88"/>
      <c r="AC149" s="86"/>
      <c r="AD149" s="87"/>
      <c r="AE149" s="88"/>
      <c r="AF149" s="88"/>
      <c r="AG149" s="86"/>
      <c r="AH149" s="87"/>
      <c r="AI149" s="88"/>
      <c r="AJ149" s="88"/>
      <c r="AK149" s="86"/>
      <c r="AL149" s="87"/>
      <c r="AM149" s="88"/>
      <c r="AN149" s="88"/>
      <c r="AO149" s="86"/>
      <c r="AP149" s="87"/>
      <c r="AQ149" s="88"/>
      <c r="AR149" s="88"/>
      <c r="AS149" s="86"/>
      <c r="AT149" s="87"/>
      <c r="AU149" s="88"/>
      <c r="AV149" s="88"/>
      <c r="AW149" s="88"/>
      <c r="AX149" s="70"/>
      <c r="AY149" s="87"/>
      <c r="AZ149" s="88"/>
      <c r="BA149" s="88"/>
      <c r="BB149" s="88"/>
      <c r="BC149" s="86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</row>
    <row r="150" spans="1:116" ht="12.75" customHeight="1" x14ac:dyDescent="0.2">
      <c r="A150" s="126">
        <v>9100</v>
      </c>
      <c r="B150" s="127"/>
      <c r="C150" s="58" t="s">
        <v>112</v>
      </c>
      <c r="D150" s="58"/>
      <c r="E150" s="58"/>
      <c r="F150" s="58"/>
      <c r="G150" s="58"/>
      <c r="H150" s="59"/>
      <c r="I150" s="126"/>
      <c r="J150" s="161"/>
      <c r="K150" s="128" t="s">
        <v>53</v>
      </c>
      <c r="L150" s="63"/>
      <c r="M150" s="63">
        <f t="shared" si="44"/>
        <v>0</v>
      </c>
      <c r="N150" s="63">
        <f>L150+M150</f>
        <v>0</v>
      </c>
      <c r="O150" s="64">
        <f>N150/50500000</f>
        <v>0</v>
      </c>
      <c r="P150" s="150"/>
      <c r="Q150" s="151"/>
      <c r="R150" s="325"/>
      <c r="S150" s="326"/>
      <c r="T150" s="152"/>
      <c r="U150" s="153"/>
      <c r="V150" s="154"/>
      <c r="W150" s="154"/>
      <c r="X150" s="154"/>
      <c r="Y150" s="152"/>
      <c r="Z150" s="153"/>
      <c r="AA150" s="154"/>
      <c r="AB150" s="154"/>
      <c r="AC150" s="152"/>
      <c r="AD150" s="153"/>
      <c r="AE150" s="154"/>
      <c r="AF150" s="154"/>
      <c r="AG150" s="152"/>
      <c r="AH150" s="153"/>
      <c r="AI150" s="154"/>
      <c r="AJ150" s="154"/>
      <c r="AK150" s="152">
        <f>O150/13</f>
        <v>0</v>
      </c>
      <c r="AL150" s="153">
        <f t="shared" ref="AL150:AW150" si="45">AK150</f>
        <v>0</v>
      </c>
      <c r="AM150" s="153">
        <f t="shared" si="45"/>
        <v>0</v>
      </c>
      <c r="AN150" s="153">
        <f t="shared" si="45"/>
        <v>0</v>
      </c>
      <c r="AO150" s="153">
        <f t="shared" si="45"/>
        <v>0</v>
      </c>
      <c r="AP150" s="153">
        <f t="shared" si="45"/>
        <v>0</v>
      </c>
      <c r="AQ150" s="153">
        <f t="shared" si="45"/>
        <v>0</v>
      </c>
      <c r="AR150" s="153">
        <f t="shared" si="45"/>
        <v>0</v>
      </c>
      <c r="AS150" s="153">
        <f t="shared" si="45"/>
        <v>0</v>
      </c>
      <c r="AT150" s="153">
        <f t="shared" si="45"/>
        <v>0</v>
      </c>
      <c r="AU150" s="153">
        <f t="shared" si="45"/>
        <v>0</v>
      </c>
      <c r="AV150" s="153">
        <f t="shared" si="45"/>
        <v>0</v>
      </c>
      <c r="AW150" s="153">
        <f t="shared" si="45"/>
        <v>0</v>
      </c>
      <c r="AX150" s="152"/>
      <c r="AY150" s="153"/>
      <c r="AZ150" s="154"/>
      <c r="BA150" s="154"/>
      <c r="BB150" s="154"/>
      <c r="BC150" s="152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</row>
    <row r="151" spans="1:116" ht="3.75" customHeight="1" x14ac:dyDescent="0.2">
      <c r="A151" s="56"/>
      <c r="B151" s="127"/>
      <c r="C151" s="58"/>
      <c r="D151" s="58"/>
      <c r="E151" s="58"/>
      <c r="F151" s="58"/>
      <c r="G151" s="58"/>
      <c r="H151" s="59"/>
      <c r="I151" s="126"/>
      <c r="J151" s="161"/>
      <c r="K151" s="128"/>
      <c r="L151" s="148"/>
      <c r="M151" s="63">
        <f t="shared" si="44"/>
        <v>0</v>
      </c>
      <c r="N151" s="63"/>
      <c r="O151" s="149"/>
      <c r="P151" s="150"/>
      <c r="Q151" s="151"/>
      <c r="R151" s="325"/>
      <c r="S151" s="326"/>
      <c r="T151" s="152"/>
      <c r="U151" s="153"/>
      <c r="V151" s="154"/>
      <c r="W151" s="154"/>
      <c r="X151" s="154"/>
      <c r="Y151" s="152"/>
      <c r="Z151" s="153"/>
      <c r="AA151" s="154"/>
      <c r="AB151" s="154"/>
      <c r="AC151" s="152"/>
      <c r="AD151" s="153"/>
      <c r="AE151" s="154"/>
      <c r="AF151" s="154"/>
      <c r="AG151" s="152"/>
      <c r="AH151" s="153"/>
      <c r="AI151" s="154"/>
      <c r="AJ151" s="154"/>
      <c r="AK151" s="152"/>
      <c r="AL151" s="153"/>
      <c r="AM151" s="154"/>
      <c r="AN151" s="154"/>
      <c r="AO151" s="152"/>
      <c r="AP151" s="153"/>
      <c r="AQ151" s="154"/>
      <c r="AR151" s="154"/>
      <c r="AS151" s="152"/>
      <c r="AT151" s="153"/>
      <c r="AU151" s="154"/>
      <c r="AV151" s="154"/>
      <c r="AW151" s="154"/>
      <c r="AX151" s="155"/>
      <c r="AY151" s="153"/>
      <c r="AZ151" s="154"/>
      <c r="BA151" s="154"/>
      <c r="BB151" s="154"/>
      <c r="BC151" s="152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</row>
    <row r="152" spans="1:116" ht="12.75" customHeight="1" x14ac:dyDescent="0.2">
      <c r="A152" s="126">
        <v>9200</v>
      </c>
      <c r="B152" s="127"/>
      <c r="C152" s="58" t="s">
        <v>113</v>
      </c>
      <c r="D152" s="58"/>
      <c r="E152" s="58"/>
      <c r="F152" s="58"/>
      <c r="G152" s="58"/>
      <c r="H152" s="59"/>
      <c r="I152" s="126"/>
      <c r="J152" s="161"/>
      <c r="K152" s="128" t="s">
        <v>53</v>
      </c>
      <c r="L152" s="63"/>
      <c r="M152" s="63">
        <f t="shared" si="44"/>
        <v>0</v>
      </c>
      <c r="N152" s="63">
        <f>L152+M152</f>
        <v>0</v>
      </c>
      <c r="O152" s="64">
        <f>N152/50500000</f>
        <v>0</v>
      </c>
      <c r="P152" s="150"/>
      <c r="Q152" s="151"/>
      <c r="R152" s="325"/>
      <c r="S152" s="326"/>
      <c r="T152" s="152"/>
      <c r="U152" s="153"/>
      <c r="V152" s="154"/>
      <c r="W152" s="154"/>
      <c r="X152" s="154"/>
      <c r="Y152" s="152"/>
      <c r="Z152" s="153"/>
      <c r="AA152" s="154"/>
      <c r="AB152" s="154"/>
      <c r="AC152" s="152"/>
      <c r="AD152" s="153"/>
      <c r="AE152" s="154"/>
      <c r="AF152" s="154"/>
      <c r="AG152" s="152"/>
      <c r="AH152" s="153"/>
      <c r="AI152" s="154"/>
      <c r="AJ152" s="154"/>
      <c r="AK152" s="152"/>
      <c r="AL152" s="153"/>
      <c r="AM152" s="154"/>
      <c r="AN152" s="154"/>
      <c r="AO152" s="152">
        <f>O152/11</f>
        <v>0</v>
      </c>
      <c r="AP152" s="153">
        <f t="shared" ref="AP152:AY152" si="46">AO152</f>
        <v>0</v>
      </c>
      <c r="AQ152" s="153">
        <f t="shared" si="46"/>
        <v>0</v>
      </c>
      <c r="AR152" s="153">
        <f t="shared" si="46"/>
        <v>0</v>
      </c>
      <c r="AS152" s="153">
        <f t="shared" si="46"/>
        <v>0</v>
      </c>
      <c r="AT152" s="153">
        <f t="shared" si="46"/>
        <v>0</v>
      </c>
      <c r="AU152" s="153">
        <f t="shared" si="46"/>
        <v>0</v>
      </c>
      <c r="AV152" s="153">
        <f t="shared" si="46"/>
        <v>0</v>
      </c>
      <c r="AW152" s="153">
        <f t="shared" si="46"/>
        <v>0</v>
      </c>
      <c r="AX152" s="153">
        <f t="shared" si="46"/>
        <v>0</v>
      </c>
      <c r="AY152" s="153">
        <f t="shared" si="46"/>
        <v>0</v>
      </c>
      <c r="AZ152" s="154"/>
      <c r="BA152" s="154"/>
      <c r="BB152" s="154"/>
      <c r="BC152" s="152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</row>
    <row r="153" spans="1:116" ht="3.75" customHeight="1" x14ac:dyDescent="0.2">
      <c r="A153" s="104"/>
      <c r="B153" s="121"/>
      <c r="C153" s="106"/>
      <c r="D153" s="106"/>
      <c r="E153" s="106"/>
      <c r="F153" s="106"/>
      <c r="G153" s="106"/>
      <c r="H153" s="107"/>
      <c r="I153" s="122"/>
      <c r="J153" s="109"/>
      <c r="K153" s="123"/>
      <c r="L153" s="78"/>
      <c r="M153" s="63">
        <f t="shared" si="44"/>
        <v>0</v>
      </c>
      <c r="N153" s="63"/>
      <c r="O153" s="89"/>
      <c r="P153" s="131"/>
      <c r="Q153" s="132"/>
      <c r="R153" s="320"/>
      <c r="S153" s="321"/>
      <c r="T153" s="81"/>
      <c r="U153" s="82"/>
      <c r="V153" s="83"/>
      <c r="W153" s="83"/>
      <c r="X153" s="83"/>
      <c r="Y153" s="81"/>
      <c r="Z153" s="82"/>
      <c r="AA153" s="83"/>
      <c r="AB153" s="83"/>
      <c r="AC153" s="81"/>
      <c r="AD153" s="82"/>
      <c r="AE153" s="83"/>
      <c r="AF153" s="83"/>
      <c r="AG153" s="81"/>
      <c r="AH153" s="82"/>
      <c r="AI153" s="83"/>
      <c r="AJ153" s="83"/>
      <c r="AK153" s="81"/>
      <c r="AL153" s="82"/>
      <c r="AM153" s="83"/>
      <c r="AN153" s="83"/>
      <c r="AO153" s="81"/>
      <c r="AP153" s="82"/>
      <c r="AQ153" s="83"/>
      <c r="AR153" s="83"/>
      <c r="AS153" s="81"/>
      <c r="AT153" s="82"/>
      <c r="AU153" s="83"/>
      <c r="AV153" s="83"/>
      <c r="AW153" s="83"/>
      <c r="AX153" s="84"/>
      <c r="AY153" s="82"/>
      <c r="AZ153" s="83"/>
      <c r="BA153" s="83"/>
      <c r="BB153" s="83"/>
      <c r="BC153" s="8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</row>
    <row r="154" spans="1:116" ht="12.75" customHeight="1" x14ac:dyDescent="0.2">
      <c r="A154" s="24">
        <v>10000</v>
      </c>
      <c r="B154" s="25" t="s">
        <v>114</v>
      </c>
      <c r="C154" s="94"/>
      <c r="D154" s="94"/>
      <c r="E154" s="94"/>
      <c r="F154" s="94"/>
      <c r="G154" s="94"/>
      <c r="H154" s="95"/>
      <c r="I154" s="28"/>
      <c r="J154" s="29"/>
      <c r="K154" s="30"/>
      <c r="L154" s="31"/>
      <c r="M154" s="31"/>
      <c r="N154" s="33"/>
      <c r="O154" s="33"/>
      <c r="P154" s="98"/>
      <c r="Q154" s="99"/>
      <c r="R154" s="327"/>
      <c r="S154" s="315"/>
      <c r="T154" s="100"/>
      <c r="U154" s="101"/>
      <c r="V154" s="102"/>
      <c r="W154" s="102"/>
      <c r="X154" s="102"/>
      <c r="Y154" s="100"/>
      <c r="Z154" s="101"/>
      <c r="AA154" s="102"/>
      <c r="AB154" s="102"/>
      <c r="AC154" s="100"/>
      <c r="AD154" s="101"/>
      <c r="AE154" s="102"/>
      <c r="AF154" s="102"/>
      <c r="AG154" s="100"/>
      <c r="AH154" s="101"/>
      <c r="AI154" s="102"/>
      <c r="AJ154" s="102"/>
      <c r="AK154" s="100"/>
      <c r="AL154" s="101"/>
      <c r="AM154" s="102"/>
      <c r="AN154" s="102"/>
      <c r="AO154" s="100"/>
      <c r="AP154" s="101"/>
      <c r="AQ154" s="102"/>
      <c r="AR154" s="102"/>
      <c r="AS154" s="100"/>
      <c r="AT154" s="101"/>
      <c r="AU154" s="102"/>
      <c r="AV154" s="102"/>
      <c r="AW154" s="102"/>
      <c r="AX154" s="103"/>
      <c r="AY154" s="101"/>
      <c r="AZ154" s="102"/>
      <c r="BA154" s="102"/>
      <c r="BB154" s="102"/>
      <c r="BC154" s="100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</row>
    <row r="155" spans="1:116" ht="3.75" customHeight="1" x14ac:dyDescent="0.2">
      <c r="A155" s="56"/>
      <c r="B155" s="127"/>
      <c r="C155" s="58"/>
      <c r="D155" s="58"/>
      <c r="E155" s="58"/>
      <c r="F155" s="58"/>
      <c r="G155" s="58"/>
      <c r="H155" s="59"/>
      <c r="I155" s="126"/>
      <c r="J155" s="161"/>
      <c r="K155" s="128"/>
      <c r="L155" s="63"/>
      <c r="M155" s="63">
        <f t="shared" ref="M155:M157" si="47">L155*4260501/50500000</f>
        <v>0</v>
      </c>
      <c r="N155" s="63"/>
      <c r="O155" s="64"/>
      <c r="P155" s="129"/>
      <c r="Q155" s="130"/>
      <c r="R155" s="318"/>
      <c r="S155" s="319"/>
      <c r="T155" s="86"/>
      <c r="U155" s="87"/>
      <c r="V155" s="88"/>
      <c r="W155" s="88"/>
      <c r="X155" s="88"/>
      <c r="Y155" s="86"/>
      <c r="Z155" s="87"/>
      <c r="AA155" s="88"/>
      <c r="AB155" s="88"/>
      <c r="AC155" s="86"/>
      <c r="AD155" s="87"/>
      <c r="AE155" s="88"/>
      <c r="AF155" s="88"/>
      <c r="AG155" s="86"/>
      <c r="AH155" s="87"/>
      <c r="AI155" s="88"/>
      <c r="AJ155" s="88"/>
      <c r="AK155" s="86"/>
      <c r="AL155" s="87"/>
      <c r="AM155" s="88"/>
      <c r="AN155" s="88"/>
      <c r="AO155" s="86"/>
      <c r="AP155" s="87"/>
      <c r="AQ155" s="88"/>
      <c r="AR155" s="88"/>
      <c r="AS155" s="86"/>
      <c r="AT155" s="87"/>
      <c r="AU155" s="88"/>
      <c r="AV155" s="88"/>
      <c r="AW155" s="88"/>
      <c r="AX155" s="70"/>
      <c r="AY155" s="87"/>
      <c r="AZ155" s="88"/>
      <c r="BA155" s="88"/>
      <c r="BB155" s="88"/>
      <c r="BC155" s="86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</row>
    <row r="156" spans="1:116" ht="12.75" customHeight="1" x14ac:dyDescent="0.2">
      <c r="A156" s="126">
        <v>10000</v>
      </c>
      <c r="B156" s="127"/>
      <c r="C156" s="58" t="s">
        <v>115</v>
      </c>
      <c r="D156" s="58"/>
      <c r="E156" s="58"/>
      <c r="F156" s="58"/>
      <c r="G156" s="58"/>
      <c r="H156" s="59"/>
      <c r="I156" s="126"/>
      <c r="J156" s="161"/>
      <c r="K156" s="128" t="s">
        <v>53</v>
      </c>
      <c r="L156" s="148"/>
      <c r="M156" s="63">
        <f t="shared" si="47"/>
        <v>0</v>
      </c>
      <c r="N156" s="63">
        <f>L156+M156</f>
        <v>0</v>
      </c>
      <c r="O156" s="64">
        <f>N156/50500000</f>
        <v>0</v>
      </c>
      <c r="P156" s="150"/>
      <c r="Q156" s="151"/>
      <c r="R156" s="325"/>
      <c r="S156" s="326"/>
      <c r="T156" s="152"/>
      <c r="U156" s="153"/>
      <c r="V156" s="154"/>
      <c r="W156" s="154"/>
      <c r="X156" s="154"/>
      <c r="Y156" s="152"/>
      <c r="Z156" s="153"/>
      <c r="AA156" s="154"/>
      <c r="AB156" s="154"/>
      <c r="AC156" s="152"/>
      <c r="AD156" s="153"/>
      <c r="AE156" s="154"/>
      <c r="AF156" s="154"/>
      <c r="AG156" s="152"/>
      <c r="AH156" s="153">
        <f>O156/12</f>
        <v>0</v>
      </c>
      <c r="AI156" s="154">
        <f t="shared" ref="AI156:AS156" si="48">AH156</f>
        <v>0</v>
      </c>
      <c r="AJ156" s="154">
        <f t="shared" si="48"/>
        <v>0</v>
      </c>
      <c r="AK156" s="154">
        <f t="shared" si="48"/>
        <v>0</v>
      </c>
      <c r="AL156" s="154">
        <f t="shared" si="48"/>
        <v>0</v>
      </c>
      <c r="AM156" s="154">
        <f t="shared" si="48"/>
        <v>0</v>
      </c>
      <c r="AN156" s="154">
        <f t="shared" si="48"/>
        <v>0</v>
      </c>
      <c r="AO156" s="154">
        <f t="shared" si="48"/>
        <v>0</v>
      </c>
      <c r="AP156" s="154">
        <f t="shared" si="48"/>
        <v>0</v>
      </c>
      <c r="AQ156" s="154">
        <f t="shared" si="48"/>
        <v>0</v>
      </c>
      <c r="AR156" s="154">
        <f t="shared" si="48"/>
        <v>0</v>
      </c>
      <c r="AS156" s="154">
        <f t="shared" si="48"/>
        <v>0</v>
      </c>
      <c r="AT156" s="153"/>
      <c r="AU156" s="154"/>
      <c r="AV156" s="154"/>
      <c r="AW156" s="154"/>
      <c r="AX156" s="152"/>
      <c r="AY156" s="153"/>
      <c r="AZ156" s="154"/>
      <c r="BA156" s="154"/>
      <c r="BB156" s="154"/>
      <c r="BC156" s="152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</row>
    <row r="157" spans="1:116" ht="3.75" customHeight="1" x14ac:dyDescent="0.2">
      <c r="A157" s="104"/>
      <c r="B157" s="121"/>
      <c r="C157" s="106"/>
      <c r="D157" s="106"/>
      <c r="E157" s="106"/>
      <c r="F157" s="106"/>
      <c r="G157" s="106"/>
      <c r="H157" s="107"/>
      <c r="I157" s="122"/>
      <c r="J157" s="109"/>
      <c r="K157" s="123"/>
      <c r="L157" s="78"/>
      <c r="M157" s="63">
        <f t="shared" si="47"/>
        <v>0</v>
      </c>
      <c r="N157" s="63"/>
      <c r="O157" s="89"/>
      <c r="P157" s="131"/>
      <c r="Q157" s="132"/>
      <c r="R157" s="320"/>
      <c r="S157" s="321"/>
      <c r="T157" s="81"/>
      <c r="U157" s="82"/>
      <c r="V157" s="83"/>
      <c r="W157" s="83"/>
      <c r="X157" s="83"/>
      <c r="Y157" s="81"/>
      <c r="Z157" s="82"/>
      <c r="AA157" s="83"/>
      <c r="AB157" s="83"/>
      <c r="AC157" s="81"/>
      <c r="AD157" s="82"/>
      <c r="AE157" s="83"/>
      <c r="AF157" s="83"/>
      <c r="AG157" s="81"/>
      <c r="AH157" s="82"/>
      <c r="AI157" s="83"/>
      <c r="AJ157" s="83"/>
      <c r="AK157" s="81"/>
      <c r="AL157" s="82"/>
      <c r="AM157" s="83"/>
      <c r="AN157" s="83"/>
      <c r="AO157" s="81"/>
      <c r="AP157" s="82"/>
      <c r="AQ157" s="83"/>
      <c r="AR157" s="83"/>
      <c r="AS157" s="81"/>
      <c r="AT157" s="82"/>
      <c r="AU157" s="83"/>
      <c r="AV157" s="83"/>
      <c r="AW157" s="83"/>
      <c r="AX157" s="84"/>
      <c r="AY157" s="82"/>
      <c r="AZ157" s="83"/>
      <c r="BA157" s="83"/>
      <c r="BB157" s="83"/>
      <c r="BC157" s="8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</row>
    <row r="158" spans="1:116" ht="12.75" customHeight="1" x14ac:dyDescent="0.2">
      <c r="A158" s="24">
        <v>11000</v>
      </c>
      <c r="B158" s="25" t="s">
        <v>116</v>
      </c>
      <c r="C158" s="94"/>
      <c r="D158" s="94"/>
      <c r="E158" s="94"/>
      <c r="F158" s="94"/>
      <c r="G158" s="94"/>
      <c r="H158" s="95"/>
      <c r="I158" s="95"/>
      <c r="J158" s="95"/>
      <c r="K158" s="95"/>
      <c r="L158" s="95"/>
      <c r="M158" s="95"/>
      <c r="N158" s="95"/>
      <c r="O158" s="33"/>
      <c r="P158" s="98"/>
      <c r="Q158" s="99"/>
      <c r="R158" s="327"/>
      <c r="S158" s="315"/>
      <c r="T158" s="100"/>
      <c r="U158" s="101"/>
      <c r="V158" s="102"/>
      <c r="W158" s="102"/>
      <c r="X158" s="102"/>
      <c r="Y158" s="100"/>
      <c r="Z158" s="101"/>
      <c r="AA158" s="102"/>
      <c r="AB158" s="102"/>
      <c r="AC158" s="100"/>
      <c r="AD158" s="101"/>
      <c r="AE158" s="102"/>
      <c r="AF158" s="102"/>
      <c r="AG158" s="100"/>
      <c r="AH158" s="101"/>
      <c r="AI158" s="102"/>
      <c r="AJ158" s="102"/>
      <c r="AK158" s="100"/>
      <c r="AL158" s="101"/>
      <c r="AM158" s="102"/>
      <c r="AN158" s="102"/>
      <c r="AO158" s="100"/>
      <c r="AP158" s="101"/>
      <c r="AQ158" s="102"/>
      <c r="AR158" s="102"/>
      <c r="AS158" s="100"/>
      <c r="AT158" s="101"/>
      <c r="AU158" s="102"/>
      <c r="AV158" s="102"/>
      <c r="AW158" s="102"/>
      <c r="AX158" s="103"/>
      <c r="AY158" s="101"/>
      <c r="AZ158" s="102"/>
      <c r="BA158" s="102"/>
      <c r="BB158" s="102"/>
      <c r="BC158" s="100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</row>
    <row r="159" spans="1:116" ht="3.75" customHeight="1" x14ac:dyDescent="0.2">
      <c r="A159" s="104"/>
      <c r="B159" s="121"/>
      <c r="C159" s="106"/>
      <c r="D159" s="106"/>
      <c r="E159" s="106"/>
      <c r="F159" s="106"/>
      <c r="G159" s="106"/>
      <c r="H159" s="107"/>
      <c r="I159" s="122"/>
      <c r="J159" s="109"/>
      <c r="K159" s="123"/>
      <c r="L159" s="111"/>
      <c r="M159" s="63">
        <f t="shared" ref="M159:M167" si="49">L159*4260501/50500000</f>
        <v>0</v>
      </c>
      <c r="N159" s="63"/>
      <c r="O159" s="112"/>
      <c r="P159" s="124"/>
      <c r="Q159" s="125"/>
      <c r="R159" s="324"/>
      <c r="S159" s="317"/>
      <c r="T159" s="115"/>
      <c r="U159" s="116"/>
      <c r="V159" s="117"/>
      <c r="W159" s="117"/>
      <c r="X159" s="117"/>
      <c r="Y159" s="115"/>
      <c r="Z159" s="116"/>
      <c r="AA159" s="117"/>
      <c r="AB159" s="117"/>
      <c r="AC159" s="115"/>
      <c r="AD159" s="116"/>
      <c r="AE159" s="117"/>
      <c r="AF159" s="117"/>
      <c r="AG159" s="115"/>
      <c r="AH159" s="116"/>
      <c r="AI159" s="117"/>
      <c r="AJ159" s="117"/>
      <c r="AK159" s="115"/>
      <c r="AL159" s="116"/>
      <c r="AM159" s="117"/>
      <c r="AN159" s="117"/>
      <c r="AO159" s="115"/>
      <c r="AP159" s="116"/>
      <c r="AQ159" s="117"/>
      <c r="AR159" s="117"/>
      <c r="AS159" s="115"/>
      <c r="AT159" s="116"/>
      <c r="AU159" s="117"/>
      <c r="AV159" s="117"/>
      <c r="AW159" s="117"/>
      <c r="AX159" s="118"/>
      <c r="AY159" s="116"/>
      <c r="AZ159" s="117"/>
      <c r="BA159" s="117"/>
      <c r="BB159" s="117"/>
      <c r="BC159" s="115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</row>
    <row r="160" spans="1:116" ht="12.75" customHeight="1" x14ac:dyDescent="0.2">
      <c r="A160" s="126">
        <v>11100</v>
      </c>
      <c r="B160" s="127"/>
      <c r="C160" s="58" t="s">
        <v>117</v>
      </c>
      <c r="D160" s="58"/>
      <c r="E160" s="58"/>
      <c r="F160" s="58"/>
      <c r="G160" s="58"/>
      <c r="H160" s="59"/>
      <c r="I160" s="126"/>
      <c r="J160" s="161"/>
      <c r="K160" s="128" t="s">
        <v>53</v>
      </c>
      <c r="L160" s="148"/>
      <c r="M160" s="63">
        <f t="shared" si="49"/>
        <v>0</v>
      </c>
      <c r="N160" s="63">
        <f>L160+M160</f>
        <v>0</v>
      </c>
      <c r="O160" s="64">
        <f>N160/50500000</f>
        <v>0</v>
      </c>
      <c r="P160" s="129"/>
      <c r="Q160" s="130"/>
      <c r="R160" s="318"/>
      <c r="S160" s="319"/>
      <c r="T160" s="86"/>
      <c r="U160" s="87"/>
      <c r="V160" s="88"/>
      <c r="W160" s="88"/>
      <c r="X160" s="88">
        <f>O160/27</f>
        <v>0</v>
      </c>
      <c r="Y160" s="86">
        <f t="shared" ref="Y160:AX160" si="50">X160</f>
        <v>0</v>
      </c>
      <c r="Z160" s="86">
        <f t="shared" si="50"/>
        <v>0</v>
      </c>
      <c r="AA160" s="86">
        <f t="shared" si="50"/>
        <v>0</v>
      </c>
      <c r="AB160" s="86">
        <f t="shared" si="50"/>
        <v>0</v>
      </c>
      <c r="AC160" s="86">
        <f t="shared" si="50"/>
        <v>0</v>
      </c>
      <c r="AD160" s="86">
        <f t="shared" si="50"/>
        <v>0</v>
      </c>
      <c r="AE160" s="86">
        <f t="shared" si="50"/>
        <v>0</v>
      </c>
      <c r="AF160" s="86">
        <f t="shared" si="50"/>
        <v>0</v>
      </c>
      <c r="AG160" s="86">
        <f t="shared" si="50"/>
        <v>0</v>
      </c>
      <c r="AH160" s="86">
        <f t="shared" si="50"/>
        <v>0</v>
      </c>
      <c r="AI160" s="86">
        <f t="shared" si="50"/>
        <v>0</v>
      </c>
      <c r="AJ160" s="86">
        <f t="shared" si="50"/>
        <v>0</v>
      </c>
      <c r="AK160" s="86">
        <f t="shared" si="50"/>
        <v>0</v>
      </c>
      <c r="AL160" s="86">
        <f t="shared" si="50"/>
        <v>0</v>
      </c>
      <c r="AM160" s="86">
        <f t="shared" si="50"/>
        <v>0</v>
      </c>
      <c r="AN160" s="86">
        <f t="shared" si="50"/>
        <v>0</v>
      </c>
      <c r="AO160" s="86">
        <f t="shared" si="50"/>
        <v>0</v>
      </c>
      <c r="AP160" s="86">
        <f t="shared" si="50"/>
        <v>0</v>
      </c>
      <c r="AQ160" s="86">
        <f t="shared" si="50"/>
        <v>0</v>
      </c>
      <c r="AR160" s="86">
        <f t="shared" si="50"/>
        <v>0</v>
      </c>
      <c r="AS160" s="86">
        <f t="shared" si="50"/>
        <v>0</v>
      </c>
      <c r="AT160" s="86">
        <f t="shared" si="50"/>
        <v>0</v>
      </c>
      <c r="AU160" s="86">
        <f t="shared" si="50"/>
        <v>0</v>
      </c>
      <c r="AV160" s="86">
        <f t="shared" si="50"/>
        <v>0</v>
      </c>
      <c r="AW160" s="86">
        <f t="shared" si="50"/>
        <v>0</v>
      </c>
      <c r="AX160" s="86">
        <f t="shared" si="50"/>
        <v>0</v>
      </c>
      <c r="AY160" s="87"/>
      <c r="AZ160" s="88"/>
      <c r="BA160" s="88"/>
      <c r="BB160" s="88"/>
      <c r="BC160" s="86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</row>
    <row r="161" spans="1:116" ht="3.75" customHeight="1" x14ac:dyDescent="0.2">
      <c r="A161" s="122"/>
      <c r="B161" s="121"/>
      <c r="C161" s="106"/>
      <c r="D161" s="106"/>
      <c r="E161" s="106"/>
      <c r="F161" s="106"/>
      <c r="G161" s="106"/>
      <c r="H161" s="107"/>
      <c r="I161" s="122"/>
      <c r="J161" s="109"/>
      <c r="K161" s="123"/>
      <c r="L161" s="148"/>
      <c r="M161" s="63">
        <f t="shared" si="49"/>
        <v>0</v>
      </c>
      <c r="N161" s="63"/>
      <c r="O161" s="89"/>
      <c r="P161" s="131"/>
      <c r="Q161" s="132"/>
      <c r="R161" s="320"/>
      <c r="S161" s="321"/>
      <c r="T161" s="81"/>
      <c r="U161" s="82"/>
      <c r="V161" s="83"/>
      <c r="W161" s="83"/>
      <c r="X161" s="83"/>
      <c r="Y161" s="81"/>
      <c r="Z161" s="82"/>
      <c r="AA161" s="83"/>
      <c r="AB161" s="83"/>
      <c r="AC161" s="81"/>
      <c r="AD161" s="82"/>
      <c r="AE161" s="83"/>
      <c r="AF161" s="83"/>
      <c r="AG161" s="81"/>
      <c r="AH161" s="82"/>
      <c r="AI161" s="83"/>
      <c r="AJ161" s="83"/>
      <c r="AK161" s="81"/>
      <c r="AL161" s="82"/>
      <c r="AM161" s="83"/>
      <c r="AN161" s="83"/>
      <c r="AO161" s="81"/>
      <c r="AP161" s="82"/>
      <c r="AQ161" s="83"/>
      <c r="AR161" s="83"/>
      <c r="AS161" s="81"/>
      <c r="AT161" s="82"/>
      <c r="AU161" s="83"/>
      <c r="AV161" s="83"/>
      <c r="AW161" s="83"/>
      <c r="AX161" s="84"/>
      <c r="AY161" s="82"/>
      <c r="AZ161" s="83"/>
      <c r="BA161" s="83"/>
      <c r="BB161" s="83"/>
      <c r="BC161" s="8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</row>
    <row r="162" spans="1:116" ht="12.75" customHeight="1" x14ac:dyDescent="0.2">
      <c r="A162" s="126">
        <v>11200</v>
      </c>
      <c r="B162" s="127"/>
      <c r="C162" s="58" t="s">
        <v>118</v>
      </c>
      <c r="D162" s="58"/>
      <c r="E162" s="58"/>
      <c r="F162" s="58"/>
      <c r="G162" s="58"/>
      <c r="H162" s="59"/>
      <c r="I162" s="126"/>
      <c r="J162" s="161"/>
      <c r="K162" s="128" t="s">
        <v>53</v>
      </c>
      <c r="L162" s="148"/>
      <c r="M162" s="63">
        <f t="shared" si="49"/>
        <v>0</v>
      </c>
      <c r="N162" s="63">
        <f>L162+M162</f>
        <v>0</v>
      </c>
      <c r="O162" s="64">
        <f>N162/50500000</f>
        <v>0</v>
      </c>
      <c r="P162" s="129"/>
      <c r="Q162" s="130"/>
      <c r="R162" s="318"/>
      <c r="S162" s="319"/>
      <c r="T162" s="86"/>
      <c r="U162" s="87"/>
      <c r="V162" s="88"/>
      <c r="W162" s="88"/>
      <c r="X162" s="88">
        <f>O162/22</f>
        <v>0</v>
      </c>
      <c r="Y162" s="86">
        <f t="shared" ref="Y162:AS162" si="51">X162</f>
        <v>0</v>
      </c>
      <c r="Z162" s="86">
        <f t="shared" si="51"/>
        <v>0</v>
      </c>
      <c r="AA162" s="86">
        <f t="shared" si="51"/>
        <v>0</v>
      </c>
      <c r="AB162" s="86">
        <f t="shared" si="51"/>
        <v>0</v>
      </c>
      <c r="AC162" s="86">
        <f t="shared" si="51"/>
        <v>0</v>
      </c>
      <c r="AD162" s="86">
        <f t="shared" si="51"/>
        <v>0</v>
      </c>
      <c r="AE162" s="86">
        <f t="shared" si="51"/>
        <v>0</v>
      </c>
      <c r="AF162" s="86">
        <f t="shared" si="51"/>
        <v>0</v>
      </c>
      <c r="AG162" s="86">
        <f t="shared" si="51"/>
        <v>0</v>
      </c>
      <c r="AH162" s="86">
        <f t="shared" si="51"/>
        <v>0</v>
      </c>
      <c r="AI162" s="86">
        <f t="shared" si="51"/>
        <v>0</v>
      </c>
      <c r="AJ162" s="86">
        <f t="shared" si="51"/>
        <v>0</v>
      </c>
      <c r="AK162" s="86">
        <f t="shared" si="51"/>
        <v>0</v>
      </c>
      <c r="AL162" s="86">
        <f t="shared" si="51"/>
        <v>0</v>
      </c>
      <c r="AM162" s="86">
        <f t="shared" si="51"/>
        <v>0</v>
      </c>
      <c r="AN162" s="86">
        <f t="shared" si="51"/>
        <v>0</v>
      </c>
      <c r="AO162" s="86">
        <f t="shared" si="51"/>
        <v>0</v>
      </c>
      <c r="AP162" s="86">
        <f t="shared" si="51"/>
        <v>0</v>
      </c>
      <c r="AQ162" s="86">
        <f t="shared" si="51"/>
        <v>0</v>
      </c>
      <c r="AR162" s="86">
        <f t="shared" si="51"/>
        <v>0</v>
      </c>
      <c r="AS162" s="86">
        <f t="shared" si="51"/>
        <v>0</v>
      </c>
      <c r="AT162" s="87"/>
      <c r="AU162" s="88"/>
      <c r="AV162" s="88"/>
      <c r="AW162" s="88"/>
      <c r="AX162" s="86"/>
      <c r="AY162" s="87"/>
      <c r="AZ162" s="88"/>
      <c r="BA162" s="88"/>
      <c r="BB162" s="88"/>
      <c r="BC162" s="86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</row>
    <row r="163" spans="1:116" ht="3.75" customHeight="1" x14ac:dyDescent="0.2">
      <c r="A163" s="122"/>
      <c r="B163" s="121"/>
      <c r="C163" s="106"/>
      <c r="D163" s="106"/>
      <c r="E163" s="106"/>
      <c r="F163" s="106"/>
      <c r="G163" s="106"/>
      <c r="H163" s="107"/>
      <c r="I163" s="122"/>
      <c r="J163" s="109"/>
      <c r="K163" s="123"/>
      <c r="L163" s="148"/>
      <c r="M163" s="63">
        <f t="shared" si="49"/>
        <v>0</v>
      </c>
      <c r="N163" s="63"/>
      <c r="O163" s="89"/>
      <c r="P163" s="131"/>
      <c r="Q163" s="132"/>
      <c r="R163" s="320"/>
      <c r="S163" s="321"/>
      <c r="T163" s="81"/>
      <c r="U163" s="82"/>
      <c r="V163" s="83"/>
      <c r="W163" s="83"/>
      <c r="X163" s="83"/>
      <c r="Y163" s="81"/>
      <c r="Z163" s="82"/>
      <c r="AA163" s="83"/>
      <c r="AB163" s="83"/>
      <c r="AC163" s="81"/>
      <c r="AD163" s="82"/>
      <c r="AE163" s="83"/>
      <c r="AF163" s="83"/>
      <c r="AG163" s="81"/>
      <c r="AH163" s="82"/>
      <c r="AI163" s="83"/>
      <c r="AJ163" s="83"/>
      <c r="AK163" s="81"/>
      <c r="AL163" s="82"/>
      <c r="AM163" s="83"/>
      <c r="AN163" s="83"/>
      <c r="AO163" s="81"/>
      <c r="AP163" s="82"/>
      <c r="AQ163" s="83"/>
      <c r="AR163" s="83"/>
      <c r="AS163" s="81"/>
      <c r="AT163" s="82"/>
      <c r="AU163" s="83"/>
      <c r="AV163" s="83"/>
      <c r="AW163" s="83"/>
      <c r="AX163" s="84"/>
      <c r="AY163" s="82"/>
      <c r="AZ163" s="83"/>
      <c r="BA163" s="83"/>
      <c r="BB163" s="83"/>
      <c r="BC163" s="8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</row>
    <row r="164" spans="1:116" ht="12.75" customHeight="1" x14ac:dyDescent="0.2">
      <c r="A164" s="126">
        <v>11300</v>
      </c>
      <c r="B164" s="127"/>
      <c r="C164" s="58" t="s">
        <v>119</v>
      </c>
      <c r="D164" s="58"/>
      <c r="E164" s="58"/>
      <c r="F164" s="58"/>
      <c r="G164" s="58"/>
      <c r="H164" s="59"/>
      <c r="I164" s="126"/>
      <c r="J164" s="161"/>
      <c r="K164" s="128" t="s">
        <v>53</v>
      </c>
      <c r="L164" s="148"/>
      <c r="M164" s="63">
        <f t="shared" si="49"/>
        <v>0</v>
      </c>
      <c r="N164" s="63">
        <f>L164+M164</f>
        <v>0</v>
      </c>
      <c r="O164" s="64">
        <f>N164/50500000</f>
        <v>0</v>
      </c>
      <c r="P164" s="129"/>
      <c r="Q164" s="130"/>
      <c r="R164" s="318"/>
      <c r="S164" s="319"/>
      <c r="T164" s="86"/>
      <c r="U164" s="87"/>
      <c r="V164" s="88"/>
      <c r="W164" s="88"/>
      <c r="X164" s="88"/>
      <c r="Y164" s="86"/>
      <c r="Z164" s="87"/>
      <c r="AA164" s="88"/>
      <c r="AB164" s="88"/>
      <c r="AC164" s="86"/>
      <c r="AD164" s="87"/>
      <c r="AE164" s="88"/>
      <c r="AF164" s="88"/>
      <c r="AG164" s="86"/>
      <c r="AH164" s="87"/>
      <c r="AI164" s="88"/>
      <c r="AJ164" s="88"/>
      <c r="AK164" s="86"/>
      <c r="AL164" s="87"/>
      <c r="AM164" s="88"/>
      <c r="AN164" s="88"/>
      <c r="AO164" s="86"/>
      <c r="AP164" s="87"/>
      <c r="AQ164" s="88"/>
      <c r="AR164" s="88"/>
      <c r="AS164" s="86"/>
      <c r="AT164" s="87">
        <f>O164/8</f>
        <v>0</v>
      </c>
      <c r="AU164" s="88">
        <f t="shared" ref="AU164:BA164" si="52">AT164</f>
        <v>0</v>
      </c>
      <c r="AV164" s="88">
        <f t="shared" si="52"/>
        <v>0</v>
      </c>
      <c r="AW164" s="88">
        <f t="shared" si="52"/>
        <v>0</v>
      </c>
      <c r="AX164" s="88">
        <f t="shared" si="52"/>
        <v>0</v>
      </c>
      <c r="AY164" s="88">
        <f t="shared" si="52"/>
        <v>0</v>
      </c>
      <c r="AZ164" s="88">
        <f t="shared" si="52"/>
        <v>0</v>
      </c>
      <c r="BA164" s="88">
        <f t="shared" si="52"/>
        <v>0</v>
      </c>
      <c r="BB164" s="88"/>
      <c r="BC164" s="86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</row>
    <row r="165" spans="1:116" ht="3.75" customHeight="1" x14ac:dyDescent="0.2">
      <c r="A165" s="122">
        <v>11400</v>
      </c>
      <c r="B165" s="121"/>
      <c r="C165" s="106"/>
      <c r="D165" s="106"/>
      <c r="E165" s="106"/>
      <c r="F165" s="106"/>
      <c r="G165" s="106"/>
      <c r="H165" s="107"/>
      <c r="I165" s="122"/>
      <c r="J165" s="109"/>
      <c r="K165" s="123"/>
      <c r="L165" s="148"/>
      <c r="M165" s="63">
        <f t="shared" si="49"/>
        <v>0</v>
      </c>
      <c r="N165" s="63"/>
      <c r="O165" s="89"/>
      <c r="P165" s="131"/>
      <c r="Q165" s="132"/>
      <c r="R165" s="320"/>
      <c r="S165" s="321"/>
      <c r="T165" s="81"/>
      <c r="U165" s="82"/>
      <c r="V165" s="83"/>
      <c r="W165" s="83"/>
      <c r="X165" s="83"/>
      <c r="Y165" s="81"/>
      <c r="Z165" s="82"/>
      <c r="AA165" s="83"/>
      <c r="AB165" s="83"/>
      <c r="AC165" s="81"/>
      <c r="AD165" s="82"/>
      <c r="AE165" s="83"/>
      <c r="AF165" s="83"/>
      <c r="AG165" s="81"/>
      <c r="AH165" s="82"/>
      <c r="AI165" s="83"/>
      <c r="AJ165" s="83"/>
      <c r="AK165" s="81"/>
      <c r="AL165" s="82"/>
      <c r="AM165" s="83"/>
      <c r="AN165" s="83"/>
      <c r="AO165" s="81"/>
      <c r="AP165" s="82"/>
      <c r="AQ165" s="83"/>
      <c r="AR165" s="83"/>
      <c r="AS165" s="81"/>
      <c r="AT165" s="82"/>
      <c r="AU165" s="83"/>
      <c r="AV165" s="83"/>
      <c r="AW165" s="83"/>
      <c r="AX165" s="84"/>
      <c r="AY165" s="82"/>
      <c r="AZ165" s="83"/>
      <c r="BA165" s="83"/>
      <c r="BB165" s="83"/>
      <c r="BC165" s="8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</row>
    <row r="166" spans="1:116" ht="12.75" customHeight="1" x14ac:dyDescent="0.2">
      <c r="A166" s="126">
        <v>11400</v>
      </c>
      <c r="B166" s="127"/>
      <c r="C166" s="58" t="s">
        <v>120</v>
      </c>
      <c r="D166" s="58"/>
      <c r="E166" s="58"/>
      <c r="F166" s="58"/>
      <c r="G166" s="58"/>
      <c r="H166" s="59"/>
      <c r="I166" s="126"/>
      <c r="J166" s="161"/>
      <c r="K166" s="128" t="s">
        <v>53</v>
      </c>
      <c r="L166" s="148"/>
      <c r="M166" s="63">
        <f t="shared" si="49"/>
        <v>0</v>
      </c>
      <c r="N166" s="63">
        <f>L166+M166</f>
        <v>0</v>
      </c>
      <c r="O166" s="64">
        <f>N166/50500000</f>
        <v>0</v>
      </c>
      <c r="P166" s="129"/>
      <c r="Q166" s="130"/>
      <c r="R166" s="318"/>
      <c r="S166" s="319"/>
      <c r="T166" s="86"/>
      <c r="U166" s="87"/>
      <c r="V166" s="88"/>
      <c r="W166" s="88"/>
      <c r="X166" s="88"/>
      <c r="Y166" s="86"/>
      <c r="Z166" s="87"/>
      <c r="AA166" s="88"/>
      <c r="AB166" s="88"/>
      <c r="AC166" s="86"/>
      <c r="AD166" s="87"/>
      <c r="AE166" s="88"/>
      <c r="AF166" s="88"/>
      <c r="AG166" s="86"/>
      <c r="AH166" s="87"/>
      <c r="AI166" s="88"/>
      <c r="AJ166" s="88"/>
      <c r="AK166" s="86">
        <f>O166/15</f>
        <v>0</v>
      </c>
      <c r="AL166" s="87">
        <f t="shared" ref="AL166:AY166" si="53">AK166</f>
        <v>0</v>
      </c>
      <c r="AM166" s="87">
        <f t="shared" si="53"/>
        <v>0</v>
      </c>
      <c r="AN166" s="87">
        <f t="shared" si="53"/>
        <v>0</v>
      </c>
      <c r="AO166" s="87">
        <f t="shared" si="53"/>
        <v>0</v>
      </c>
      <c r="AP166" s="87">
        <f t="shared" si="53"/>
        <v>0</v>
      </c>
      <c r="AQ166" s="87">
        <f t="shared" si="53"/>
        <v>0</v>
      </c>
      <c r="AR166" s="87">
        <f t="shared" si="53"/>
        <v>0</v>
      </c>
      <c r="AS166" s="87">
        <f t="shared" si="53"/>
        <v>0</v>
      </c>
      <c r="AT166" s="87">
        <f t="shared" si="53"/>
        <v>0</v>
      </c>
      <c r="AU166" s="87">
        <f t="shared" si="53"/>
        <v>0</v>
      </c>
      <c r="AV166" s="87">
        <f t="shared" si="53"/>
        <v>0</v>
      </c>
      <c r="AW166" s="87">
        <f t="shared" si="53"/>
        <v>0</v>
      </c>
      <c r="AX166" s="87">
        <f t="shared" si="53"/>
        <v>0</v>
      </c>
      <c r="AY166" s="87">
        <f t="shared" si="53"/>
        <v>0</v>
      </c>
      <c r="AZ166" s="88"/>
      <c r="BA166" s="88"/>
      <c r="BB166" s="88"/>
      <c r="BC166" s="86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</row>
    <row r="167" spans="1:116" ht="3.75" customHeight="1" x14ac:dyDescent="0.2">
      <c r="A167" s="104"/>
      <c r="B167" s="121"/>
      <c r="C167" s="106"/>
      <c r="D167" s="106"/>
      <c r="E167" s="106"/>
      <c r="F167" s="106"/>
      <c r="G167" s="106"/>
      <c r="H167" s="107"/>
      <c r="I167" s="122"/>
      <c r="J167" s="109"/>
      <c r="K167" s="123"/>
      <c r="L167" s="78"/>
      <c r="M167" s="63">
        <f t="shared" si="49"/>
        <v>0</v>
      </c>
      <c r="N167" s="63"/>
      <c r="O167" s="89"/>
      <c r="P167" s="131"/>
      <c r="Q167" s="132"/>
      <c r="R167" s="320"/>
      <c r="S167" s="321"/>
      <c r="T167" s="81"/>
      <c r="U167" s="82"/>
      <c r="V167" s="83"/>
      <c r="W167" s="83"/>
      <c r="X167" s="83"/>
      <c r="Y167" s="81"/>
      <c r="Z167" s="82"/>
      <c r="AA167" s="83"/>
      <c r="AB167" s="83"/>
      <c r="AC167" s="81"/>
      <c r="AD167" s="82"/>
      <c r="AE167" s="83"/>
      <c r="AF167" s="83"/>
      <c r="AG167" s="81"/>
      <c r="AH167" s="82"/>
      <c r="AI167" s="83"/>
      <c r="AJ167" s="83"/>
      <c r="AK167" s="81"/>
      <c r="AL167" s="82"/>
      <c r="AM167" s="83"/>
      <c r="AN167" s="83"/>
      <c r="AO167" s="81"/>
      <c r="AP167" s="82"/>
      <c r="AQ167" s="83"/>
      <c r="AR167" s="83"/>
      <c r="AS167" s="81"/>
      <c r="AT167" s="82"/>
      <c r="AU167" s="83"/>
      <c r="AV167" s="83"/>
      <c r="AW167" s="83"/>
      <c r="AX167" s="84"/>
      <c r="AY167" s="82"/>
      <c r="AZ167" s="83"/>
      <c r="BA167" s="83"/>
      <c r="BB167" s="83"/>
      <c r="BC167" s="8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</row>
    <row r="168" spans="1:116" ht="12.75" customHeight="1" x14ac:dyDescent="0.2">
      <c r="A168" s="24">
        <v>12000</v>
      </c>
      <c r="B168" s="25" t="s">
        <v>121</v>
      </c>
      <c r="C168" s="94"/>
      <c r="D168" s="94"/>
      <c r="E168" s="94"/>
      <c r="F168" s="94"/>
      <c r="G168" s="94"/>
      <c r="H168" s="95"/>
      <c r="I168" s="28"/>
      <c r="J168" s="29"/>
      <c r="K168" s="30"/>
      <c r="L168" s="31"/>
      <c r="M168" s="31"/>
      <c r="N168" s="33"/>
      <c r="O168" s="33"/>
      <c r="P168" s="98"/>
      <c r="Q168" s="99"/>
      <c r="R168" s="327"/>
      <c r="S168" s="315"/>
      <c r="T168" s="100"/>
      <c r="U168" s="101"/>
      <c r="V168" s="102"/>
      <c r="W168" s="102"/>
      <c r="X168" s="102"/>
      <c r="Y168" s="100"/>
      <c r="Z168" s="101"/>
      <c r="AA168" s="102"/>
      <c r="AB168" s="102"/>
      <c r="AC168" s="100"/>
      <c r="AD168" s="101"/>
      <c r="AE168" s="102"/>
      <c r="AF168" s="102"/>
      <c r="AG168" s="100"/>
      <c r="AH168" s="101"/>
      <c r="AI168" s="102"/>
      <c r="AJ168" s="102"/>
      <c r="AK168" s="100"/>
      <c r="AL168" s="101"/>
      <c r="AM168" s="102"/>
      <c r="AN168" s="102"/>
      <c r="AO168" s="100"/>
      <c r="AP168" s="101"/>
      <c r="AQ168" s="102"/>
      <c r="AR168" s="102"/>
      <c r="AS168" s="100"/>
      <c r="AT168" s="101"/>
      <c r="AU168" s="102"/>
      <c r="AV168" s="102"/>
      <c r="AW168" s="102"/>
      <c r="AX168" s="103"/>
      <c r="AY168" s="101"/>
      <c r="AZ168" s="102"/>
      <c r="BA168" s="102"/>
      <c r="BB168" s="102"/>
      <c r="BC168" s="100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</row>
    <row r="169" spans="1:116" ht="3.75" customHeight="1" x14ac:dyDescent="0.2">
      <c r="A169" s="104"/>
      <c r="B169" s="121"/>
      <c r="C169" s="106"/>
      <c r="D169" s="106"/>
      <c r="E169" s="106"/>
      <c r="F169" s="106"/>
      <c r="G169" s="106"/>
      <c r="H169" s="107"/>
      <c r="I169" s="122"/>
      <c r="J169" s="109"/>
      <c r="K169" s="123"/>
      <c r="L169" s="111"/>
      <c r="M169" s="63">
        <f t="shared" ref="M169:M181" si="54">L169*4260501/50500000</f>
        <v>0</v>
      </c>
      <c r="N169" s="63"/>
      <c r="O169" s="112"/>
      <c r="P169" s="124"/>
      <c r="Q169" s="125"/>
      <c r="R169" s="324"/>
      <c r="S169" s="317"/>
      <c r="T169" s="115"/>
      <c r="U169" s="116"/>
      <c r="V169" s="117"/>
      <c r="W169" s="117"/>
      <c r="X169" s="117"/>
      <c r="Y169" s="115"/>
      <c r="Z169" s="116"/>
      <c r="AA169" s="117"/>
      <c r="AB169" s="117"/>
      <c r="AC169" s="115"/>
      <c r="AD169" s="116"/>
      <c r="AE169" s="117"/>
      <c r="AF169" s="117"/>
      <c r="AG169" s="115"/>
      <c r="AH169" s="116"/>
      <c r="AI169" s="117"/>
      <c r="AJ169" s="117"/>
      <c r="AK169" s="115"/>
      <c r="AL169" s="116"/>
      <c r="AM169" s="117"/>
      <c r="AN169" s="117"/>
      <c r="AO169" s="115"/>
      <c r="AP169" s="116"/>
      <c r="AQ169" s="117"/>
      <c r="AR169" s="117"/>
      <c r="AS169" s="115"/>
      <c r="AT169" s="116"/>
      <c r="AU169" s="117"/>
      <c r="AV169" s="117"/>
      <c r="AW169" s="117"/>
      <c r="AX169" s="118"/>
      <c r="AY169" s="116"/>
      <c r="AZ169" s="117"/>
      <c r="BA169" s="117"/>
      <c r="BB169" s="117"/>
      <c r="BC169" s="115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</row>
    <row r="170" spans="1:116" ht="12.75" customHeight="1" x14ac:dyDescent="0.2">
      <c r="A170" s="126">
        <v>12100</v>
      </c>
      <c r="B170" s="127"/>
      <c r="C170" s="58" t="s">
        <v>122</v>
      </c>
      <c r="D170" s="58"/>
      <c r="E170" s="58"/>
      <c r="F170" s="58"/>
      <c r="G170" s="58"/>
      <c r="H170" s="59"/>
      <c r="I170" s="126"/>
      <c r="J170" s="161"/>
      <c r="K170" s="128" t="s">
        <v>53</v>
      </c>
      <c r="L170" s="148"/>
      <c r="M170" s="63">
        <f t="shared" si="54"/>
        <v>0</v>
      </c>
      <c r="N170" s="63">
        <f>L170+M170</f>
        <v>0</v>
      </c>
      <c r="O170" s="64">
        <f>N170/50500000</f>
        <v>0</v>
      </c>
      <c r="P170" s="129"/>
      <c r="Q170" s="130"/>
      <c r="R170" s="318"/>
      <c r="S170" s="319"/>
      <c r="T170" s="86"/>
      <c r="U170" s="87"/>
      <c r="V170" s="88"/>
      <c r="W170" s="88"/>
      <c r="X170" s="88"/>
      <c r="Y170" s="86"/>
      <c r="Z170" s="87">
        <f>O170/16</f>
        <v>0</v>
      </c>
      <c r="AA170" s="88">
        <f t="shared" ref="AA170:AO170" si="55">Z170</f>
        <v>0</v>
      </c>
      <c r="AB170" s="88">
        <f t="shared" si="55"/>
        <v>0</v>
      </c>
      <c r="AC170" s="88">
        <f t="shared" si="55"/>
        <v>0</v>
      </c>
      <c r="AD170" s="88">
        <f t="shared" si="55"/>
        <v>0</v>
      </c>
      <c r="AE170" s="88">
        <f t="shared" si="55"/>
        <v>0</v>
      </c>
      <c r="AF170" s="88">
        <f t="shared" si="55"/>
        <v>0</v>
      </c>
      <c r="AG170" s="88">
        <f t="shared" si="55"/>
        <v>0</v>
      </c>
      <c r="AH170" s="88">
        <f t="shared" si="55"/>
        <v>0</v>
      </c>
      <c r="AI170" s="88">
        <f t="shared" si="55"/>
        <v>0</v>
      </c>
      <c r="AJ170" s="88">
        <f t="shared" si="55"/>
        <v>0</v>
      </c>
      <c r="AK170" s="88">
        <f t="shared" si="55"/>
        <v>0</v>
      </c>
      <c r="AL170" s="88">
        <f t="shared" si="55"/>
        <v>0</v>
      </c>
      <c r="AM170" s="88">
        <f t="shared" si="55"/>
        <v>0</v>
      </c>
      <c r="AN170" s="88">
        <f t="shared" si="55"/>
        <v>0</v>
      </c>
      <c r="AO170" s="88">
        <f t="shared" si="55"/>
        <v>0</v>
      </c>
      <c r="AP170" s="88"/>
      <c r="AQ170" s="88"/>
      <c r="AR170" s="88"/>
      <c r="AS170" s="86"/>
      <c r="AT170" s="87"/>
      <c r="AU170" s="88"/>
      <c r="AV170" s="88"/>
      <c r="AW170" s="88"/>
      <c r="AX170" s="70"/>
      <c r="AY170" s="87"/>
      <c r="AZ170" s="88"/>
      <c r="BA170" s="88"/>
      <c r="BB170" s="88"/>
      <c r="BC170" s="86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</row>
    <row r="171" spans="1:116" ht="3.75" customHeight="1" x14ac:dyDescent="0.2">
      <c r="A171" s="122"/>
      <c r="B171" s="121"/>
      <c r="C171" s="106"/>
      <c r="D171" s="106"/>
      <c r="E171" s="106"/>
      <c r="F171" s="106"/>
      <c r="G171" s="106"/>
      <c r="H171" s="107"/>
      <c r="I171" s="122"/>
      <c r="J171" s="109"/>
      <c r="K171" s="123"/>
      <c r="L171" s="148"/>
      <c r="M171" s="63">
        <f t="shared" si="54"/>
        <v>0</v>
      </c>
      <c r="N171" s="63"/>
      <c r="O171" s="89"/>
      <c r="P171" s="131"/>
      <c r="Q171" s="132"/>
      <c r="R171" s="320"/>
      <c r="S171" s="321"/>
      <c r="T171" s="81"/>
      <c r="U171" s="82"/>
      <c r="V171" s="83"/>
      <c r="W171" s="83"/>
      <c r="X171" s="83"/>
      <c r="Y171" s="81"/>
      <c r="Z171" s="82"/>
      <c r="AA171" s="83"/>
      <c r="AB171" s="83"/>
      <c r="AC171" s="81"/>
      <c r="AD171" s="82"/>
      <c r="AE171" s="83"/>
      <c r="AF171" s="83"/>
      <c r="AG171" s="81"/>
      <c r="AH171" s="82"/>
      <c r="AI171" s="83"/>
      <c r="AJ171" s="83"/>
      <c r="AK171" s="81"/>
      <c r="AL171" s="82"/>
      <c r="AM171" s="83"/>
      <c r="AN171" s="83"/>
      <c r="AO171" s="81"/>
      <c r="AP171" s="82"/>
      <c r="AQ171" s="83"/>
      <c r="AR171" s="83"/>
      <c r="AS171" s="81"/>
      <c r="AT171" s="82"/>
      <c r="AU171" s="83"/>
      <c r="AV171" s="83"/>
      <c r="AW171" s="83"/>
      <c r="AX171" s="84"/>
      <c r="AY171" s="82"/>
      <c r="AZ171" s="83"/>
      <c r="BA171" s="83"/>
      <c r="BB171" s="83"/>
      <c r="BC171" s="8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</row>
    <row r="172" spans="1:116" ht="12.75" customHeight="1" x14ac:dyDescent="0.2">
      <c r="A172" s="126">
        <v>12200</v>
      </c>
      <c r="B172" s="127"/>
      <c r="C172" s="58" t="s">
        <v>123</v>
      </c>
      <c r="D172" s="58"/>
      <c r="E172" s="58"/>
      <c r="F172" s="58"/>
      <c r="G172" s="58"/>
      <c r="H172" s="59"/>
      <c r="I172" s="126"/>
      <c r="J172" s="161"/>
      <c r="K172" s="128" t="s">
        <v>53</v>
      </c>
      <c r="L172" s="148"/>
      <c r="M172" s="63">
        <f t="shared" si="54"/>
        <v>0</v>
      </c>
      <c r="N172" s="63">
        <f>L172+M172</f>
        <v>0</v>
      </c>
      <c r="O172" s="64">
        <f>N172/50500000</f>
        <v>0</v>
      </c>
      <c r="P172" s="129"/>
      <c r="Q172" s="130"/>
      <c r="R172" s="318"/>
      <c r="S172" s="319"/>
      <c r="T172" s="86"/>
      <c r="U172" s="87"/>
      <c r="V172" s="88"/>
      <c r="W172" s="88"/>
      <c r="X172" s="88"/>
      <c r="Y172" s="86"/>
      <c r="Z172" s="87"/>
      <c r="AA172" s="88"/>
      <c r="AB172" s="88">
        <f>O172/18</f>
        <v>0</v>
      </c>
      <c r="AC172" s="86">
        <f t="shared" ref="AC172:AS172" si="56">AB172</f>
        <v>0</v>
      </c>
      <c r="AD172" s="86">
        <f t="shared" si="56"/>
        <v>0</v>
      </c>
      <c r="AE172" s="86">
        <f t="shared" si="56"/>
        <v>0</v>
      </c>
      <c r="AF172" s="86">
        <f t="shared" si="56"/>
        <v>0</v>
      </c>
      <c r="AG172" s="86">
        <f t="shared" si="56"/>
        <v>0</v>
      </c>
      <c r="AH172" s="86">
        <f t="shared" si="56"/>
        <v>0</v>
      </c>
      <c r="AI172" s="86">
        <f t="shared" si="56"/>
        <v>0</v>
      </c>
      <c r="AJ172" s="86">
        <f t="shared" si="56"/>
        <v>0</v>
      </c>
      <c r="AK172" s="86">
        <f t="shared" si="56"/>
        <v>0</v>
      </c>
      <c r="AL172" s="86">
        <f t="shared" si="56"/>
        <v>0</v>
      </c>
      <c r="AM172" s="86">
        <f t="shared" si="56"/>
        <v>0</v>
      </c>
      <c r="AN172" s="86">
        <f t="shared" si="56"/>
        <v>0</v>
      </c>
      <c r="AO172" s="86">
        <f t="shared" si="56"/>
        <v>0</v>
      </c>
      <c r="AP172" s="86">
        <f t="shared" si="56"/>
        <v>0</v>
      </c>
      <c r="AQ172" s="86">
        <f t="shared" si="56"/>
        <v>0</v>
      </c>
      <c r="AR172" s="86">
        <f t="shared" si="56"/>
        <v>0</v>
      </c>
      <c r="AS172" s="86">
        <f t="shared" si="56"/>
        <v>0</v>
      </c>
      <c r="AT172" s="87"/>
      <c r="AU172" s="88"/>
      <c r="AV172" s="88"/>
      <c r="AW172" s="88"/>
      <c r="AX172" s="70"/>
      <c r="AY172" s="87"/>
      <c r="AZ172" s="88"/>
      <c r="BA172" s="88"/>
      <c r="BB172" s="88"/>
      <c r="BC172" s="86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</row>
    <row r="173" spans="1:116" ht="3.75" customHeight="1" x14ac:dyDescent="0.2">
      <c r="A173" s="122"/>
      <c r="B173" s="121"/>
      <c r="C173" s="106"/>
      <c r="D173" s="106"/>
      <c r="E173" s="106"/>
      <c r="F173" s="106"/>
      <c r="G173" s="106"/>
      <c r="H173" s="107"/>
      <c r="I173" s="122"/>
      <c r="J173" s="109"/>
      <c r="K173" s="123"/>
      <c r="L173" s="148"/>
      <c r="M173" s="63">
        <f t="shared" si="54"/>
        <v>0</v>
      </c>
      <c r="N173" s="63"/>
      <c r="O173" s="89"/>
      <c r="P173" s="131"/>
      <c r="Q173" s="132"/>
      <c r="R173" s="320"/>
      <c r="S173" s="321"/>
      <c r="T173" s="81"/>
      <c r="U173" s="82"/>
      <c r="V173" s="83"/>
      <c r="W173" s="83"/>
      <c r="X173" s="83"/>
      <c r="Y173" s="81"/>
      <c r="Z173" s="82"/>
      <c r="AA173" s="83"/>
      <c r="AB173" s="83"/>
      <c r="AC173" s="81"/>
      <c r="AD173" s="82"/>
      <c r="AE173" s="83"/>
      <c r="AF173" s="83"/>
      <c r="AG173" s="81"/>
      <c r="AH173" s="82"/>
      <c r="AI173" s="83"/>
      <c r="AJ173" s="83"/>
      <c r="AK173" s="81"/>
      <c r="AL173" s="82"/>
      <c r="AM173" s="83"/>
      <c r="AN173" s="83"/>
      <c r="AO173" s="81"/>
      <c r="AP173" s="82"/>
      <c r="AQ173" s="83"/>
      <c r="AR173" s="83"/>
      <c r="AS173" s="81"/>
      <c r="AT173" s="82"/>
      <c r="AU173" s="83"/>
      <c r="AV173" s="83"/>
      <c r="AW173" s="83"/>
      <c r="AX173" s="84"/>
      <c r="AY173" s="82"/>
      <c r="AZ173" s="83"/>
      <c r="BA173" s="83"/>
      <c r="BB173" s="83"/>
      <c r="BC173" s="8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</row>
    <row r="174" spans="1:116" ht="12.75" customHeight="1" x14ac:dyDescent="0.2">
      <c r="A174" s="126">
        <v>12300</v>
      </c>
      <c r="B174" s="127"/>
      <c r="C174" s="58" t="s">
        <v>124</v>
      </c>
      <c r="D174" s="58"/>
      <c r="E174" s="58"/>
      <c r="F174" s="58"/>
      <c r="G174" s="58"/>
      <c r="H174" s="59"/>
      <c r="I174" s="126"/>
      <c r="J174" s="161"/>
      <c r="K174" s="128" t="s">
        <v>53</v>
      </c>
      <c r="L174" s="148"/>
      <c r="M174" s="63">
        <f t="shared" si="54"/>
        <v>0</v>
      </c>
      <c r="N174" s="63">
        <f>L174+M174</f>
        <v>0</v>
      </c>
      <c r="O174" s="64">
        <f>N174/50500000</f>
        <v>0</v>
      </c>
      <c r="P174" s="129"/>
      <c r="Q174" s="130"/>
      <c r="R174" s="318"/>
      <c r="S174" s="319"/>
      <c r="T174" s="86"/>
      <c r="U174" s="87"/>
      <c r="V174" s="88"/>
      <c r="W174" s="88"/>
      <c r="X174" s="88"/>
      <c r="Y174" s="86"/>
      <c r="Z174" s="87"/>
      <c r="AA174" s="88"/>
      <c r="AB174" s="88">
        <f>O174/25</f>
        <v>0</v>
      </c>
      <c r="AC174" s="86">
        <f t="shared" ref="AC174:AZ174" si="57">AB174</f>
        <v>0</v>
      </c>
      <c r="AD174" s="86">
        <f t="shared" si="57"/>
        <v>0</v>
      </c>
      <c r="AE174" s="86">
        <f t="shared" si="57"/>
        <v>0</v>
      </c>
      <c r="AF174" s="86">
        <f t="shared" si="57"/>
        <v>0</v>
      </c>
      <c r="AG174" s="86">
        <f t="shared" si="57"/>
        <v>0</v>
      </c>
      <c r="AH174" s="86">
        <f t="shared" si="57"/>
        <v>0</v>
      </c>
      <c r="AI174" s="86">
        <f t="shared" si="57"/>
        <v>0</v>
      </c>
      <c r="AJ174" s="86">
        <f t="shared" si="57"/>
        <v>0</v>
      </c>
      <c r="AK174" s="86">
        <f t="shared" si="57"/>
        <v>0</v>
      </c>
      <c r="AL174" s="86">
        <f t="shared" si="57"/>
        <v>0</v>
      </c>
      <c r="AM174" s="86">
        <f t="shared" si="57"/>
        <v>0</v>
      </c>
      <c r="AN174" s="86">
        <f t="shared" si="57"/>
        <v>0</v>
      </c>
      <c r="AO174" s="86">
        <f t="shared" si="57"/>
        <v>0</v>
      </c>
      <c r="AP174" s="86">
        <f t="shared" si="57"/>
        <v>0</v>
      </c>
      <c r="AQ174" s="86">
        <f t="shared" si="57"/>
        <v>0</v>
      </c>
      <c r="AR174" s="86">
        <f t="shared" si="57"/>
        <v>0</v>
      </c>
      <c r="AS174" s="86">
        <f t="shared" si="57"/>
        <v>0</v>
      </c>
      <c r="AT174" s="86">
        <f t="shared" si="57"/>
        <v>0</v>
      </c>
      <c r="AU174" s="86">
        <f t="shared" si="57"/>
        <v>0</v>
      </c>
      <c r="AV174" s="86">
        <f t="shared" si="57"/>
        <v>0</v>
      </c>
      <c r="AW174" s="86">
        <f t="shared" si="57"/>
        <v>0</v>
      </c>
      <c r="AX174" s="86">
        <f t="shared" si="57"/>
        <v>0</v>
      </c>
      <c r="AY174" s="86">
        <f t="shared" si="57"/>
        <v>0</v>
      </c>
      <c r="AZ174" s="86">
        <f t="shared" si="57"/>
        <v>0</v>
      </c>
      <c r="BA174" s="88"/>
      <c r="BB174" s="88"/>
      <c r="BC174" s="86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</row>
    <row r="175" spans="1:116" ht="3.75" customHeight="1" x14ac:dyDescent="0.2">
      <c r="A175" s="122"/>
      <c r="B175" s="121"/>
      <c r="C175" s="106"/>
      <c r="D175" s="106"/>
      <c r="E175" s="106"/>
      <c r="F175" s="106"/>
      <c r="G175" s="106"/>
      <c r="H175" s="107"/>
      <c r="I175" s="122"/>
      <c r="J175" s="109"/>
      <c r="K175" s="123"/>
      <c r="L175" s="148"/>
      <c r="M175" s="63">
        <f t="shared" si="54"/>
        <v>0</v>
      </c>
      <c r="N175" s="63"/>
      <c r="O175" s="89"/>
      <c r="P175" s="131"/>
      <c r="Q175" s="132"/>
      <c r="R175" s="320"/>
      <c r="S175" s="321"/>
      <c r="T175" s="81"/>
      <c r="U175" s="82"/>
      <c r="V175" s="83"/>
      <c r="W175" s="83"/>
      <c r="X175" s="83"/>
      <c r="Y175" s="81"/>
      <c r="Z175" s="82"/>
      <c r="AA175" s="83"/>
      <c r="AB175" s="83"/>
      <c r="AC175" s="81"/>
      <c r="AD175" s="82"/>
      <c r="AE175" s="83"/>
      <c r="AF175" s="83"/>
      <c r="AG175" s="81"/>
      <c r="AH175" s="82"/>
      <c r="AI175" s="83"/>
      <c r="AJ175" s="83"/>
      <c r="AK175" s="81"/>
      <c r="AL175" s="82"/>
      <c r="AM175" s="83"/>
      <c r="AN175" s="83"/>
      <c r="AO175" s="81"/>
      <c r="AP175" s="82"/>
      <c r="AQ175" s="83"/>
      <c r="AR175" s="83"/>
      <c r="AS175" s="81"/>
      <c r="AT175" s="82"/>
      <c r="AU175" s="83"/>
      <c r="AV175" s="83"/>
      <c r="AW175" s="83"/>
      <c r="AX175" s="84"/>
      <c r="AY175" s="82"/>
      <c r="AZ175" s="83"/>
      <c r="BA175" s="83"/>
      <c r="BB175" s="83"/>
      <c r="BC175" s="8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</row>
    <row r="176" spans="1:116" ht="12.75" customHeight="1" x14ac:dyDescent="0.2">
      <c r="A176" s="126">
        <v>12400</v>
      </c>
      <c r="B176" s="127"/>
      <c r="C176" s="58" t="s">
        <v>125</v>
      </c>
      <c r="D176" s="58"/>
      <c r="E176" s="58"/>
      <c r="F176" s="58"/>
      <c r="G176" s="58"/>
      <c r="H176" s="59"/>
      <c r="I176" s="126"/>
      <c r="J176" s="161"/>
      <c r="K176" s="128" t="s">
        <v>53</v>
      </c>
      <c r="L176" s="148"/>
      <c r="M176" s="63">
        <f t="shared" si="54"/>
        <v>0</v>
      </c>
      <c r="N176" s="63">
        <f>L176+M176</f>
        <v>0</v>
      </c>
      <c r="O176" s="64">
        <f>N176/50500000</f>
        <v>0</v>
      </c>
      <c r="P176" s="129"/>
      <c r="Q176" s="130"/>
      <c r="R176" s="318"/>
      <c r="S176" s="319"/>
      <c r="T176" s="86"/>
      <c r="U176" s="87"/>
      <c r="V176" s="88"/>
      <c r="W176" s="88"/>
      <c r="X176" s="88"/>
      <c r="Y176" s="86"/>
      <c r="Z176" s="87"/>
      <c r="AA176" s="88"/>
      <c r="AB176" s="88"/>
      <c r="AC176" s="86"/>
      <c r="AD176" s="87"/>
      <c r="AE176" s="88">
        <f>O176/22</f>
        <v>0</v>
      </c>
      <c r="AF176" s="88">
        <f t="shared" ref="AF176:AZ176" si="58">AE176</f>
        <v>0</v>
      </c>
      <c r="AG176" s="88">
        <f t="shared" si="58"/>
        <v>0</v>
      </c>
      <c r="AH176" s="88">
        <f t="shared" si="58"/>
        <v>0</v>
      </c>
      <c r="AI176" s="88">
        <f t="shared" si="58"/>
        <v>0</v>
      </c>
      <c r="AJ176" s="88">
        <f t="shared" si="58"/>
        <v>0</v>
      </c>
      <c r="AK176" s="88">
        <f t="shared" si="58"/>
        <v>0</v>
      </c>
      <c r="AL176" s="88">
        <f t="shared" si="58"/>
        <v>0</v>
      </c>
      <c r="AM176" s="88">
        <f t="shared" si="58"/>
        <v>0</v>
      </c>
      <c r="AN176" s="88">
        <f t="shared" si="58"/>
        <v>0</v>
      </c>
      <c r="AO176" s="88">
        <f t="shared" si="58"/>
        <v>0</v>
      </c>
      <c r="AP176" s="88">
        <f t="shared" si="58"/>
        <v>0</v>
      </c>
      <c r="AQ176" s="88">
        <f t="shared" si="58"/>
        <v>0</v>
      </c>
      <c r="AR176" s="88">
        <f t="shared" si="58"/>
        <v>0</v>
      </c>
      <c r="AS176" s="88">
        <f t="shared" si="58"/>
        <v>0</v>
      </c>
      <c r="AT176" s="88">
        <f t="shared" si="58"/>
        <v>0</v>
      </c>
      <c r="AU176" s="88">
        <f t="shared" si="58"/>
        <v>0</v>
      </c>
      <c r="AV176" s="88">
        <f t="shared" si="58"/>
        <v>0</v>
      </c>
      <c r="AW176" s="88">
        <f t="shared" si="58"/>
        <v>0</v>
      </c>
      <c r="AX176" s="88">
        <f t="shared" si="58"/>
        <v>0</v>
      </c>
      <c r="AY176" s="88">
        <f t="shared" si="58"/>
        <v>0</v>
      </c>
      <c r="AZ176" s="88">
        <f t="shared" si="58"/>
        <v>0</v>
      </c>
      <c r="BA176" s="88"/>
      <c r="BB176" s="88"/>
      <c r="BC176" s="86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</row>
    <row r="177" spans="1:116" ht="3.75" customHeight="1" x14ac:dyDescent="0.2">
      <c r="A177" s="122"/>
      <c r="B177" s="121"/>
      <c r="C177" s="106"/>
      <c r="D177" s="106"/>
      <c r="E177" s="106"/>
      <c r="F177" s="106"/>
      <c r="G177" s="106"/>
      <c r="H177" s="107"/>
      <c r="I177" s="122"/>
      <c r="J177" s="109"/>
      <c r="K177" s="123"/>
      <c r="L177" s="148"/>
      <c r="M177" s="63">
        <f t="shared" si="54"/>
        <v>0</v>
      </c>
      <c r="N177" s="63"/>
      <c r="O177" s="89"/>
      <c r="P177" s="131"/>
      <c r="Q177" s="132"/>
      <c r="R177" s="320"/>
      <c r="S177" s="321"/>
      <c r="T177" s="81"/>
      <c r="U177" s="82"/>
      <c r="V177" s="83"/>
      <c r="W177" s="83"/>
      <c r="X177" s="83"/>
      <c r="Y177" s="81"/>
      <c r="Z177" s="82"/>
      <c r="AA177" s="83"/>
      <c r="AB177" s="83"/>
      <c r="AC177" s="81"/>
      <c r="AD177" s="82"/>
      <c r="AE177" s="83"/>
      <c r="AF177" s="83"/>
      <c r="AG177" s="81"/>
      <c r="AH177" s="82"/>
      <c r="AI177" s="83"/>
      <c r="AJ177" s="83"/>
      <c r="AK177" s="81"/>
      <c r="AL177" s="82"/>
      <c r="AM177" s="83"/>
      <c r="AN177" s="83"/>
      <c r="AO177" s="81"/>
      <c r="AP177" s="82"/>
      <c r="AQ177" s="83"/>
      <c r="AR177" s="83"/>
      <c r="AS177" s="81"/>
      <c r="AT177" s="82"/>
      <c r="AU177" s="83"/>
      <c r="AV177" s="83"/>
      <c r="AW177" s="83"/>
      <c r="AX177" s="84"/>
      <c r="AY177" s="82"/>
      <c r="AZ177" s="83"/>
      <c r="BA177" s="83"/>
      <c r="BB177" s="83"/>
      <c r="BC177" s="8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</row>
    <row r="178" spans="1:116" ht="12.75" customHeight="1" x14ac:dyDescent="0.2">
      <c r="A178" s="126">
        <v>12500</v>
      </c>
      <c r="B178" s="127"/>
      <c r="C178" s="58" t="s">
        <v>126</v>
      </c>
      <c r="D178" s="58"/>
      <c r="E178" s="58"/>
      <c r="F178" s="58"/>
      <c r="G178" s="58"/>
      <c r="H178" s="59"/>
      <c r="I178" s="126"/>
      <c r="J178" s="161"/>
      <c r="K178" s="128" t="s">
        <v>53</v>
      </c>
      <c r="L178" s="148"/>
      <c r="M178" s="63">
        <f t="shared" si="54"/>
        <v>0</v>
      </c>
      <c r="N178" s="63">
        <f>L178+M178</f>
        <v>0</v>
      </c>
      <c r="O178" s="64">
        <f>N178/50500000</f>
        <v>0</v>
      </c>
      <c r="P178" s="129"/>
      <c r="Q178" s="130"/>
      <c r="R178" s="318"/>
      <c r="S178" s="319"/>
      <c r="T178" s="86"/>
      <c r="U178" s="87"/>
      <c r="V178" s="88"/>
      <c r="W178" s="88"/>
      <c r="X178" s="88"/>
      <c r="Y178" s="86"/>
      <c r="Z178" s="87"/>
      <c r="AA178" s="88"/>
      <c r="AB178" s="88"/>
      <c r="AC178" s="86"/>
      <c r="AD178" s="87"/>
      <c r="AE178" s="88"/>
      <c r="AF178" s="88"/>
      <c r="AG178" s="86"/>
      <c r="AH178" s="87"/>
      <c r="AI178" s="88"/>
      <c r="AJ178" s="88"/>
      <c r="AK178" s="86"/>
      <c r="AL178" s="87"/>
      <c r="AM178" s="88"/>
      <c r="AN178" s="88"/>
      <c r="AO178" s="86"/>
      <c r="AP178" s="87"/>
      <c r="AQ178" s="88"/>
      <c r="AR178" s="88"/>
      <c r="AS178" s="86"/>
      <c r="AT178" s="87">
        <f>O178/8</f>
        <v>0</v>
      </c>
      <c r="AU178" s="88">
        <f t="shared" ref="AU178:BA178" si="59">AT178</f>
        <v>0</v>
      </c>
      <c r="AV178" s="88">
        <f t="shared" si="59"/>
        <v>0</v>
      </c>
      <c r="AW178" s="88">
        <f t="shared" si="59"/>
        <v>0</v>
      </c>
      <c r="AX178" s="88">
        <f t="shared" si="59"/>
        <v>0</v>
      </c>
      <c r="AY178" s="88">
        <f t="shared" si="59"/>
        <v>0</v>
      </c>
      <c r="AZ178" s="88">
        <f t="shared" si="59"/>
        <v>0</v>
      </c>
      <c r="BA178" s="88">
        <f t="shared" si="59"/>
        <v>0</v>
      </c>
      <c r="BB178" s="88"/>
      <c r="BC178" s="86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</row>
    <row r="179" spans="1:116" ht="3.75" customHeight="1" x14ac:dyDescent="0.2">
      <c r="A179" s="104"/>
      <c r="B179" s="121"/>
      <c r="C179" s="106"/>
      <c r="D179" s="106"/>
      <c r="E179" s="106"/>
      <c r="F179" s="106"/>
      <c r="G179" s="106"/>
      <c r="H179" s="107"/>
      <c r="I179" s="122"/>
      <c r="J179" s="109"/>
      <c r="K179" s="123"/>
      <c r="L179" s="148"/>
      <c r="M179" s="63">
        <f t="shared" si="54"/>
        <v>0</v>
      </c>
      <c r="N179" s="63"/>
      <c r="O179" s="89"/>
      <c r="P179" s="131"/>
      <c r="Q179" s="132"/>
      <c r="R179" s="320"/>
      <c r="S179" s="321"/>
      <c r="T179" s="81"/>
      <c r="U179" s="82"/>
      <c r="V179" s="83"/>
      <c r="W179" s="83"/>
      <c r="X179" s="83"/>
      <c r="Y179" s="81"/>
      <c r="Z179" s="82"/>
      <c r="AA179" s="83"/>
      <c r="AB179" s="83"/>
      <c r="AC179" s="81"/>
      <c r="AD179" s="82"/>
      <c r="AE179" s="83"/>
      <c r="AF179" s="83"/>
      <c r="AG179" s="81"/>
      <c r="AH179" s="82"/>
      <c r="AI179" s="83"/>
      <c r="AJ179" s="83"/>
      <c r="AK179" s="81"/>
      <c r="AL179" s="82"/>
      <c r="AM179" s="83"/>
      <c r="AN179" s="83"/>
      <c r="AO179" s="81"/>
      <c r="AP179" s="82"/>
      <c r="AQ179" s="83"/>
      <c r="AR179" s="83"/>
      <c r="AS179" s="81"/>
      <c r="AT179" s="82"/>
      <c r="AU179" s="83"/>
      <c r="AV179" s="83"/>
      <c r="AW179" s="83"/>
      <c r="AX179" s="84"/>
      <c r="AY179" s="82"/>
      <c r="AZ179" s="83"/>
      <c r="BA179" s="83"/>
      <c r="BB179" s="83"/>
      <c r="BC179" s="8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</row>
    <row r="180" spans="1:116" ht="12.75" customHeight="1" x14ac:dyDescent="0.2">
      <c r="A180" s="122">
        <v>12600</v>
      </c>
      <c r="B180" s="105"/>
      <c r="C180" s="106" t="s">
        <v>127</v>
      </c>
      <c r="D180" s="106"/>
      <c r="E180" s="106"/>
      <c r="F180" s="106"/>
      <c r="G180" s="106"/>
      <c r="H180" s="107"/>
      <c r="I180" s="122"/>
      <c r="J180" s="109"/>
      <c r="K180" s="123" t="s">
        <v>53</v>
      </c>
      <c r="L180" s="148"/>
      <c r="M180" s="63">
        <f t="shared" si="54"/>
        <v>0</v>
      </c>
      <c r="N180" s="63">
        <f>L180+M180</f>
        <v>0</v>
      </c>
      <c r="O180" s="64">
        <f>N180/50500000</f>
        <v>0</v>
      </c>
      <c r="P180" s="65"/>
      <c r="Q180" s="90"/>
      <c r="R180" s="318"/>
      <c r="S180" s="319"/>
      <c r="T180" s="86"/>
      <c r="U180" s="87"/>
      <c r="V180" s="88"/>
      <c r="W180" s="88"/>
      <c r="X180" s="88"/>
      <c r="Y180" s="86"/>
      <c r="Z180" s="87"/>
      <c r="AA180" s="88"/>
      <c r="AB180" s="88"/>
      <c r="AC180" s="86"/>
      <c r="AD180" s="87"/>
      <c r="AE180" s="88"/>
      <c r="AF180" s="88"/>
      <c r="AG180" s="86"/>
      <c r="AH180" s="87"/>
      <c r="AI180" s="88"/>
      <c r="AJ180" s="88"/>
      <c r="AK180" s="86"/>
      <c r="AL180" s="87"/>
      <c r="AM180" s="88"/>
      <c r="AN180" s="88"/>
      <c r="AO180" s="86"/>
      <c r="AP180" s="87"/>
      <c r="AQ180" s="88"/>
      <c r="AR180" s="88"/>
      <c r="AS180" s="86"/>
      <c r="AT180" s="87">
        <f>O180/5</f>
        <v>0</v>
      </c>
      <c r="AU180" s="88">
        <f t="shared" ref="AU180:AX180" si="60">AT180</f>
        <v>0</v>
      </c>
      <c r="AV180" s="88">
        <f t="shared" si="60"/>
        <v>0</v>
      </c>
      <c r="AW180" s="88">
        <f t="shared" si="60"/>
        <v>0</v>
      </c>
      <c r="AX180" s="88">
        <f t="shared" si="60"/>
        <v>0</v>
      </c>
      <c r="AY180" s="87"/>
      <c r="AZ180" s="88"/>
      <c r="BA180" s="88"/>
      <c r="BB180" s="88"/>
      <c r="BC180" s="86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</row>
    <row r="181" spans="1:116" ht="3.75" customHeight="1" x14ac:dyDescent="0.2">
      <c r="A181" s="71"/>
      <c r="B181" s="163"/>
      <c r="C181" s="73"/>
      <c r="D181" s="73"/>
      <c r="E181" s="73"/>
      <c r="F181" s="73"/>
      <c r="G181" s="73"/>
      <c r="H181" s="164"/>
      <c r="I181" s="137"/>
      <c r="J181" s="76"/>
      <c r="K181" s="139"/>
      <c r="L181" s="78"/>
      <c r="M181" s="63">
        <f t="shared" si="54"/>
        <v>0</v>
      </c>
      <c r="N181" s="63"/>
      <c r="O181" s="89"/>
      <c r="P181" s="165"/>
      <c r="Q181" s="166"/>
      <c r="R181" s="335"/>
      <c r="S181" s="321"/>
      <c r="T181" s="167"/>
      <c r="U181" s="168"/>
      <c r="V181" s="169"/>
      <c r="W181" s="169"/>
      <c r="X181" s="169"/>
      <c r="Y181" s="167"/>
      <c r="Z181" s="168"/>
      <c r="AA181" s="169"/>
      <c r="AB181" s="169"/>
      <c r="AC181" s="167"/>
      <c r="AD181" s="168"/>
      <c r="AE181" s="169"/>
      <c r="AF181" s="169"/>
      <c r="AG181" s="167"/>
      <c r="AH181" s="168"/>
      <c r="AI181" s="169"/>
      <c r="AJ181" s="169"/>
      <c r="AK181" s="167"/>
      <c r="AL181" s="168"/>
      <c r="AM181" s="169"/>
      <c r="AN181" s="169"/>
      <c r="AO181" s="167"/>
      <c r="AP181" s="168"/>
      <c r="AQ181" s="169"/>
      <c r="AR181" s="170"/>
      <c r="AS181" s="171"/>
      <c r="AT181" s="172"/>
      <c r="AU181" s="170"/>
      <c r="AV181" s="169"/>
      <c r="AW181" s="169"/>
      <c r="AX181" s="167"/>
      <c r="AY181" s="168"/>
      <c r="AZ181" s="169"/>
      <c r="BA181" s="169"/>
      <c r="BB181" s="169"/>
      <c r="BC181" s="167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</row>
    <row r="182" spans="1:116" ht="12.75" customHeight="1" x14ac:dyDescent="0.2">
      <c r="A182" s="24">
        <v>13000</v>
      </c>
      <c r="B182" s="25" t="s">
        <v>128</v>
      </c>
      <c r="C182" s="173"/>
      <c r="D182" s="94"/>
      <c r="E182" s="94"/>
      <c r="F182" s="94"/>
      <c r="G182" s="94"/>
      <c r="H182" s="95"/>
      <c r="I182" s="28"/>
      <c r="J182" s="29"/>
      <c r="K182" s="30"/>
      <c r="L182" s="31"/>
      <c r="M182" s="31"/>
      <c r="N182" s="31"/>
      <c r="O182" s="33"/>
      <c r="P182" s="174"/>
      <c r="Q182" s="175"/>
      <c r="R182" s="333"/>
      <c r="S182" s="315"/>
      <c r="T182" s="176"/>
      <c r="U182" s="177"/>
      <c r="V182" s="178"/>
      <c r="W182" s="178"/>
      <c r="X182" s="178"/>
      <c r="Y182" s="176"/>
      <c r="Z182" s="177"/>
      <c r="AA182" s="178"/>
      <c r="AB182" s="178"/>
      <c r="AC182" s="176"/>
      <c r="AD182" s="177"/>
      <c r="AE182" s="178"/>
      <c r="AF182" s="178"/>
      <c r="AG182" s="176"/>
      <c r="AH182" s="177"/>
      <c r="AI182" s="178"/>
      <c r="AJ182" s="178"/>
      <c r="AK182" s="176"/>
      <c r="AL182" s="177"/>
      <c r="AM182" s="178"/>
      <c r="AN182" s="178"/>
      <c r="AO182" s="176"/>
      <c r="AP182" s="177"/>
      <c r="AQ182" s="178"/>
      <c r="AR182" s="178"/>
      <c r="AS182" s="176"/>
      <c r="AT182" s="177"/>
      <c r="AU182" s="178"/>
      <c r="AV182" s="178"/>
      <c r="AW182" s="178"/>
      <c r="AX182" s="176"/>
      <c r="AY182" s="177"/>
      <c r="AZ182" s="178"/>
      <c r="BA182" s="178"/>
      <c r="BB182" s="178"/>
      <c r="BC182" s="176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</row>
    <row r="183" spans="1:116" ht="3.75" customHeight="1" x14ac:dyDescent="0.2">
      <c r="A183" s="56"/>
      <c r="B183" s="179"/>
      <c r="C183" s="58"/>
      <c r="D183" s="58"/>
      <c r="E183" s="58"/>
      <c r="F183" s="58"/>
      <c r="G183" s="58"/>
      <c r="H183" s="180"/>
      <c r="I183" s="126"/>
      <c r="J183" s="161"/>
      <c r="K183" s="128"/>
      <c r="L183" s="63"/>
      <c r="M183" s="63">
        <f>L183/50500000</f>
        <v>0</v>
      </c>
      <c r="N183" s="63"/>
      <c r="O183" s="64"/>
      <c r="P183" s="181"/>
      <c r="Q183" s="181"/>
      <c r="R183" s="329"/>
      <c r="S183" s="330"/>
      <c r="T183" s="182"/>
      <c r="U183" s="183"/>
      <c r="V183" s="184"/>
      <c r="W183" s="184"/>
      <c r="X183" s="184"/>
      <c r="Y183" s="185"/>
      <c r="Z183" s="186"/>
      <c r="AA183" s="184"/>
      <c r="AB183" s="184"/>
      <c r="AC183" s="187"/>
      <c r="AD183" s="183"/>
      <c r="AE183" s="184"/>
      <c r="AF183" s="184"/>
      <c r="AG183" s="185"/>
      <c r="AH183" s="188"/>
      <c r="AI183" s="189"/>
      <c r="AJ183" s="189"/>
      <c r="AK183" s="190"/>
      <c r="AL183" s="186"/>
      <c r="AM183" s="184"/>
      <c r="AN183" s="184"/>
      <c r="AO183" s="187"/>
      <c r="AP183" s="183"/>
      <c r="AQ183" s="184"/>
      <c r="AR183" s="191"/>
      <c r="AS183" s="192"/>
      <c r="AT183" s="193"/>
      <c r="AU183" s="194"/>
      <c r="AV183" s="184"/>
      <c r="AW183" s="187"/>
      <c r="AX183" s="185"/>
      <c r="AY183" s="183"/>
      <c r="AZ183" s="186"/>
      <c r="BA183" s="184"/>
      <c r="BB183" s="187"/>
      <c r="BC183" s="195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</row>
    <row r="184" spans="1:116" ht="15.75" customHeight="1" x14ac:dyDescent="0.2">
      <c r="A184" s="196"/>
      <c r="B184" s="339"/>
      <c r="C184" s="295"/>
      <c r="D184" s="295"/>
      <c r="E184" s="295"/>
      <c r="F184" s="295"/>
      <c r="G184" s="295"/>
      <c r="H184" s="296"/>
      <c r="I184" s="197"/>
      <c r="J184" s="198"/>
      <c r="K184" s="199"/>
      <c r="L184" s="198" t="e">
        <f>L20+L22+L24+L26+L30+L32+L36+L38+L40+L42+L46+L48+L50+L52+L54+L56+L58+L80+L82+L84+L86+L88+L90+L92+L94+L96+L98+L102+L104+L106+L110+L112+L114+L120+L122+L126+L128+L130+L132+L136+L138+L140+L144+L146+L150+L152+L156+L160+L162+L164+L166+L170+L172+L174+L176+L178+L180+L182</f>
        <v>#REF!</v>
      </c>
      <c r="M184" s="198" t="e">
        <f t="shared" ref="M184:N184" si="61">M20+M22+M24+M26+M30+M32+M36+M38+M40+M42+M46+M48+M50+M52+M54+M56+M58+M80+M82+M84+M86+M88+M90+M92+M94+M96+M98+M102+M104+M106+M110+M112+M114+M120+M122+M126+M128+M130+M132+M136+M138+M140+M144+M146+M150+M152+M156+M160+M162+M164+M166+M170+M172+M174+M176+M178+M180</f>
        <v>#REF!</v>
      </c>
      <c r="N184" s="198" t="e">
        <f t="shared" si="61"/>
        <v>#REF!</v>
      </c>
      <c r="O184" s="200" t="e">
        <f t="shared" ref="O184:R184" si="62">O20+O22+O24+O26+O30+O32+O36+O38+O40+O42+O46+O48+O50+O52+O54+O56+O58+O80+O82+O84+O86+O88+O90+O92+O94+O96+O98+O102+O104+O106+O110+O112+O114+O120+O122+O126+O128+O130+O132+O136+O138+O140+O144+O146+O150+O152+O156+O160+O162+O164+O166+O170+O172+O174+O176+O178+O180+O182</f>
        <v>#REF!</v>
      </c>
      <c r="P184" s="201">
        <f t="shared" si="62"/>
        <v>0</v>
      </c>
      <c r="Q184" s="201">
        <f t="shared" si="62"/>
        <v>0</v>
      </c>
      <c r="R184" s="331">
        <f t="shared" si="62"/>
        <v>0</v>
      </c>
      <c r="S184" s="296"/>
      <c r="T184" s="201">
        <f t="shared" ref="T184:BA184" si="63">T20+T22+T24+T26+T30+T32+T36+T38+T40+T42+T46+T48+T50+T52+T54+T56+T58+T80+T82+T84+T86+T88+T90+T92+T94+T96+T98+T102+T104+T106+T110+T112+T114+T120+T122+T126+T128+T130+T132+T136+T138+T140+T144+T146+T150+T152+T156+T160+T162+T164+T166+T170+T172+T174+T176+T178+T180+T182</f>
        <v>0</v>
      </c>
      <c r="U184" s="201">
        <f t="shared" si="63"/>
        <v>0</v>
      </c>
      <c r="V184" s="201">
        <f t="shared" si="63"/>
        <v>0</v>
      </c>
      <c r="W184" s="201">
        <f t="shared" si="63"/>
        <v>0</v>
      </c>
      <c r="X184" s="201">
        <f t="shared" si="63"/>
        <v>0</v>
      </c>
      <c r="Y184" s="201">
        <f t="shared" si="63"/>
        <v>0</v>
      </c>
      <c r="Z184" s="201">
        <f t="shared" si="63"/>
        <v>0</v>
      </c>
      <c r="AA184" s="201">
        <f t="shared" si="63"/>
        <v>0</v>
      </c>
      <c r="AB184" s="201">
        <f t="shared" si="63"/>
        <v>0</v>
      </c>
      <c r="AC184" s="201">
        <f t="shared" si="63"/>
        <v>0</v>
      </c>
      <c r="AD184" s="201">
        <f t="shared" si="63"/>
        <v>0</v>
      </c>
      <c r="AE184" s="201">
        <f t="shared" si="63"/>
        <v>0</v>
      </c>
      <c r="AF184" s="201">
        <f t="shared" si="63"/>
        <v>0</v>
      </c>
      <c r="AG184" s="201">
        <f t="shared" si="63"/>
        <v>0</v>
      </c>
      <c r="AH184" s="201">
        <f t="shared" si="63"/>
        <v>0</v>
      </c>
      <c r="AI184" s="201">
        <f t="shared" si="63"/>
        <v>0</v>
      </c>
      <c r="AJ184" s="201">
        <f t="shared" si="63"/>
        <v>0</v>
      </c>
      <c r="AK184" s="201">
        <f t="shared" si="63"/>
        <v>0</v>
      </c>
      <c r="AL184" s="201" t="e">
        <f t="shared" si="63"/>
        <v>#REF!</v>
      </c>
      <c r="AM184" s="201" t="e">
        <f t="shared" si="63"/>
        <v>#REF!</v>
      </c>
      <c r="AN184" s="201" t="e">
        <f t="shared" si="63"/>
        <v>#REF!</v>
      </c>
      <c r="AO184" s="201" t="e">
        <f t="shared" si="63"/>
        <v>#REF!</v>
      </c>
      <c r="AP184" s="201" t="e">
        <f t="shared" si="63"/>
        <v>#REF!</v>
      </c>
      <c r="AQ184" s="201" t="e">
        <f t="shared" si="63"/>
        <v>#REF!</v>
      </c>
      <c r="AR184" s="201" t="e">
        <f t="shared" si="63"/>
        <v>#REF!</v>
      </c>
      <c r="AS184" s="201" t="e">
        <f t="shared" si="63"/>
        <v>#REF!</v>
      </c>
      <c r="AT184" s="201">
        <f t="shared" si="63"/>
        <v>0</v>
      </c>
      <c r="AU184" s="201">
        <f t="shared" si="63"/>
        <v>0</v>
      </c>
      <c r="AV184" s="201">
        <f t="shared" si="63"/>
        <v>0</v>
      </c>
      <c r="AW184" s="201">
        <f t="shared" si="63"/>
        <v>0</v>
      </c>
      <c r="AX184" s="201">
        <f t="shared" si="63"/>
        <v>0</v>
      </c>
      <c r="AY184" s="201">
        <f t="shared" si="63"/>
        <v>0</v>
      </c>
      <c r="AZ184" s="201">
        <f t="shared" si="63"/>
        <v>0</v>
      </c>
      <c r="BA184" s="201">
        <f t="shared" si="63"/>
        <v>0</v>
      </c>
      <c r="BB184" s="202">
        <f t="shared" ref="BB184:BC184" si="64">SUM(BB20:BB180)</f>
        <v>0</v>
      </c>
      <c r="BC184" s="202">
        <f t="shared" si="64"/>
        <v>0</v>
      </c>
      <c r="BD184" s="1"/>
      <c r="BE184" s="203"/>
      <c r="BF184" s="204">
        <f>BF20+BF22+BF24+BF26+BF30+BF32+BF36+BF38+BF40+BF42+BF46+BF48+BF50+BF52+BF54+BF56+BF58+BF80+BF82+BF84+BF86+BF88+BF90+BF92+BF94+BF96+BF98+BF102+BF104+BF106+BF110+BF112+BF114+BF120+BF122+BF126+BF128+BF130+BF132+BF136+BF138+BF140+BF144+BF146+BF150+BF152+BF156+BF160+BF162+BF164+BF166+BF170+BF172+BF174+BF176+BF178+BF180+BF182</f>
        <v>0</v>
      </c>
      <c r="BG184" s="204">
        <v>7.1774609303677898E-3</v>
      </c>
      <c r="BH184" s="204">
        <v>7.4995499471308524E-3</v>
      </c>
      <c r="BI184" s="204">
        <v>1.6420512146798089E-2</v>
      </c>
      <c r="BJ184" s="204">
        <v>1.4292908632532183E-2</v>
      </c>
      <c r="BK184" s="204">
        <v>1.2312966157122435E-2</v>
      </c>
      <c r="BL184" s="204">
        <v>1.3164983940381098E-2</v>
      </c>
      <c r="BM184" s="204">
        <v>1.6184037698322166E-2</v>
      </c>
      <c r="BN184" s="204">
        <v>2.561613681486364E-2</v>
      </c>
      <c r="BO184" s="204">
        <v>1.6130458234901949E-2</v>
      </c>
      <c r="BP184" s="204">
        <v>1.6333714090560628E-2</v>
      </c>
      <c r="BQ184" s="204">
        <v>1.6333714090560628E-2</v>
      </c>
      <c r="BR184" s="204">
        <v>2.5856314827252286E-2</v>
      </c>
      <c r="BS184" s="204">
        <v>2.8367325214963643E-2</v>
      </c>
      <c r="BT184" s="204">
        <v>1.2755635493499666E-2</v>
      </c>
      <c r="BU184" s="204">
        <v>2.9421651441218159E-2</v>
      </c>
      <c r="BV184" s="204">
        <v>2.6971416341703199E-2</v>
      </c>
      <c r="BW184" s="204">
        <v>5.1564651258125177E-2</v>
      </c>
      <c r="BX184" s="204">
        <v>1.9603665172776126E-2</v>
      </c>
      <c r="BY184" s="204">
        <v>2.7447632266990062E-2</v>
      </c>
      <c r="BZ184" s="204">
        <v>2.7447632266990062E-2</v>
      </c>
      <c r="CA184" s="204">
        <v>3.4308587391809697E-2</v>
      </c>
      <c r="CB184" s="204">
        <v>3.2507334900547136E-2</v>
      </c>
      <c r="CC184" s="204">
        <v>3.2686009085107076E-2</v>
      </c>
      <c r="CD184" s="204">
        <v>4.2795975253759416E-2</v>
      </c>
      <c r="CE184" s="204">
        <v>5.7945245324800589E-2</v>
      </c>
      <c r="CF184" s="204">
        <v>3.817540667354237E-2</v>
      </c>
      <c r="CG184" s="204">
        <v>3.817540667354237E-2</v>
      </c>
      <c r="CH184" s="204">
        <v>4.169227645131876E-2</v>
      </c>
      <c r="CI184" s="204">
        <v>4.5631990775994738E-2</v>
      </c>
      <c r="CJ184" s="204">
        <v>3.9040882764547813E-2</v>
      </c>
      <c r="CK184" s="204">
        <v>3.9892300780534032E-2</v>
      </c>
      <c r="CL184" s="204">
        <v>3.3333902886385963E-2</v>
      </c>
      <c r="CM184" s="204">
        <v>3.3333902886385963E-2</v>
      </c>
      <c r="CN184" s="204">
        <v>3.0337929991915643E-2</v>
      </c>
      <c r="CO184" s="204">
        <v>2.5511827902274468E-2</v>
      </c>
      <c r="CP184" s="204">
        <v>1.455669852329579E-2</v>
      </c>
      <c r="CQ184" s="205">
        <v>9.1075369600679846E-3</v>
      </c>
      <c r="CR184" s="205">
        <v>6.4417803352612491E-5</v>
      </c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</row>
    <row r="185" spans="1:116" ht="12.75" hidden="1" customHeight="1" x14ac:dyDescent="0.2">
      <c r="A185" s="340" t="s">
        <v>129</v>
      </c>
      <c r="B185" s="295"/>
      <c r="C185" s="295"/>
      <c r="D185" s="295"/>
      <c r="E185" s="295"/>
      <c r="F185" s="295"/>
      <c r="G185" s="295"/>
      <c r="H185" s="296"/>
      <c r="I185" s="206"/>
      <c r="J185" s="207"/>
      <c r="K185" s="208"/>
      <c r="L185" s="208"/>
      <c r="M185" s="208"/>
      <c r="N185" s="208"/>
      <c r="O185" s="208"/>
      <c r="P185" s="209"/>
      <c r="Q185" s="209"/>
      <c r="R185" s="334"/>
      <c r="S185" s="296"/>
      <c r="T185" s="210"/>
      <c r="U185" s="210"/>
      <c r="V185" s="210"/>
      <c r="W185" s="210"/>
      <c r="X185" s="210"/>
      <c r="Y185" s="210"/>
      <c r="Z185" s="210"/>
      <c r="AA185" s="210"/>
      <c r="AB185" s="210"/>
      <c r="AC185" s="210"/>
      <c r="AD185" s="210"/>
      <c r="AE185" s="210"/>
      <c r="AF185" s="210"/>
      <c r="AG185" s="211"/>
      <c r="AH185" s="210"/>
      <c r="AI185" s="210"/>
      <c r="AJ185" s="210"/>
      <c r="AK185" s="210"/>
      <c r="AL185" s="210"/>
      <c r="AM185" s="210"/>
      <c r="AN185" s="210"/>
      <c r="AO185" s="210"/>
      <c r="AP185" s="210"/>
      <c r="AQ185" s="210"/>
      <c r="AR185" s="212"/>
      <c r="AS185" s="212"/>
      <c r="AT185" s="212"/>
      <c r="AU185" s="212"/>
      <c r="AV185" s="212"/>
      <c r="AW185" s="212"/>
      <c r="AX185" s="212"/>
      <c r="AY185" s="212"/>
      <c r="AZ185" s="212"/>
      <c r="BA185" s="212"/>
      <c r="BB185" s="212"/>
      <c r="BC185" s="212"/>
      <c r="BD185" s="1"/>
      <c r="BE185" s="213"/>
      <c r="BF185" s="213"/>
      <c r="BG185" s="213"/>
      <c r="BH185" s="213"/>
      <c r="BI185" s="213"/>
      <c r="BJ185" s="213"/>
      <c r="BK185" s="213"/>
      <c r="BL185" s="213"/>
      <c r="BM185" s="213"/>
      <c r="BN185" s="213"/>
      <c r="BO185" s="213"/>
      <c r="BP185" s="213"/>
      <c r="BQ185" s="213"/>
      <c r="BR185" s="213"/>
      <c r="BS185" s="213"/>
      <c r="BT185" s="213"/>
      <c r="BU185" s="213"/>
      <c r="BV185" s="213"/>
      <c r="BW185" s="213"/>
      <c r="BX185" s="213"/>
      <c r="BY185" s="213"/>
      <c r="BZ185" s="213"/>
      <c r="CA185" s="213"/>
      <c r="CB185" s="213"/>
      <c r="CC185" s="213"/>
      <c r="CD185" s="213"/>
      <c r="CE185" s="213"/>
      <c r="CF185" s="213"/>
      <c r="CG185" s="213"/>
      <c r="CH185" s="213"/>
      <c r="CI185" s="213"/>
      <c r="CJ185" s="213"/>
      <c r="CK185" s="213"/>
      <c r="CL185" s="213"/>
      <c r="CM185" s="213"/>
      <c r="CN185" s="213"/>
      <c r="CO185" s="213"/>
      <c r="CP185" s="213"/>
      <c r="CQ185" s="213"/>
      <c r="CR185" s="213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</row>
    <row r="186" spans="1:116" ht="15" hidden="1" customHeight="1" x14ac:dyDescent="0.2">
      <c r="A186" s="341" t="s">
        <v>130</v>
      </c>
      <c r="B186" s="295"/>
      <c r="C186" s="295"/>
      <c r="D186" s="295"/>
      <c r="E186" s="295"/>
      <c r="F186" s="295"/>
      <c r="G186" s="295"/>
      <c r="H186" s="296"/>
      <c r="I186" s="206"/>
      <c r="J186" s="207"/>
      <c r="K186" s="208"/>
      <c r="L186" s="208"/>
      <c r="M186" s="208"/>
      <c r="N186" s="208"/>
      <c r="O186" s="208"/>
      <c r="P186" s="214"/>
      <c r="Q186" s="214"/>
      <c r="R186" s="328"/>
      <c r="S186" s="296"/>
      <c r="T186" s="332"/>
      <c r="U186" s="295"/>
      <c r="V186" s="296"/>
      <c r="W186" s="215"/>
      <c r="X186" s="332"/>
      <c r="Y186" s="296"/>
      <c r="Z186" s="332"/>
      <c r="AA186" s="296"/>
      <c r="AB186" s="332"/>
      <c r="AC186" s="296"/>
      <c r="AD186" s="332"/>
      <c r="AE186" s="296"/>
      <c r="AF186" s="215"/>
      <c r="AG186" s="216"/>
      <c r="AH186" s="215"/>
      <c r="AI186" s="215"/>
      <c r="AJ186" s="215"/>
      <c r="AK186" s="215"/>
      <c r="AL186" s="215"/>
      <c r="AM186" s="215"/>
      <c r="AN186" s="215"/>
      <c r="AO186" s="215"/>
      <c r="AP186" s="215"/>
      <c r="AQ186" s="215"/>
      <c r="AR186" s="212"/>
      <c r="AS186" s="212"/>
      <c r="AT186" s="212"/>
      <c r="AU186" s="212"/>
      <c r="AV186" s="212"/>
      <c r="AW186" s="212"/>
      <c r="AX186" s="212"/>
      <c r="AY186" s="212"/>
      <c r="AZ186" s="212"/>
      <c r="BA186" s="212"/>
      <c r="BB186" s="212"/>
      <c r="BC186" s="212"/>
      <c r="BD186" s="1"/>
      <c r="BE186" s="213"/>
      <c r="BF186" s="213"/>
      <c r="BG186" s="213"/>
      <c r="BH186" s="213"/>
      <c r="BI186" s="213"/>
      <c r="BJ186" s="213"/>
      <c r="BK186" s="213"/>
      <c r="BL186" s="213"/>
      <c r="BM186" s="213"/>
      <c r="BN186" s="213"/>
      <c r="BO186" s="213"/>
      <c r="BP186" s="213"/>
      <c r="BQ186" s="213"/>
      <c r="BR186" s="213"/>
      <c r="BS186" s="213"/>
      <c r="BT186" s="213"/>
      <c r="BU186" s="213"/>
      <c r="BV186" s="213"/>
      <c r="BW186" s="213"/>
      <c r="BX186" s="213"/>
      <c r="BY186" s="213"/>
      <c r="BZ186" s="213"/>
      <c r="CA186" s="213"/>
      <c r="CB186" s="213"/>
      <c r="CC186" s="213"/>
      <c r="CD186" s="213"/>
      <c r="CE186" s="213"/>
      <c r="CF186" s="213"/>
      <c r="CG186" s="213"/>
      <c r="CH186" s="213"/>
      <c r="CI186" s="213"/>
      <c r="CJ186" s="213"/>
      <c r="CK186" s="213"/>
      <c r="CL186" s="213"/>
      <c r="CM186" s="213"/>
      <c r="CN186" s="213"/>
      <c r="CO186" s="213"/>
      <c r="CP186" s="213"/>
      <c r="CQ186" s="213"/>
      <c r="CR186" s="213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</row>
    <row r="187" spans="1:116" ht="15" hidden="1" customHeight="1" x14ac:dyDescent="0.2">
      <c r="A187" s="336" t="s">
        <v>131</v>
      </c>
      <c r="B187" s="295"/>
      <c r="C187" s="295"/>
      <c r="D187" s="295"/>
      <c r="E187" s="295"/>
      <c r="F187" s="295"/>
      <c r="G187" s="295"/>
      <c r="H187" s="296"/>
      <c r="I187" s="217"/>
      <c r="J187" s="218"/>
      <c r="K187" s="219"/>
      <c r="L187" s="219"/>
      <c r="M187" s="219"/>
      <c r="N187" s="219"/>
      <c r="O187" s="219"/>
      <c r="P187" s="220"/>
      <c r="Q187" s="220"/>
      <c r="R187" s="337"/>
      <c r="S187" s="296"/>
      <c r="T187" s="338"/>
      <c r="U187" s="295"/>
      <c r="V187" s="296"/>
      <c r="W187" s="221"/>
      <c r="X187" s="338"/>
      <c r="Y187" s="296"/>
      <c r="Z187" s="338"/>
      <c r="AA187" s="296"/>
      <c r="AB187" s="338"/>
      <c r="AC187" s="296"/>
      <c r="AD187" s="338"/>
      <c r="AE187" s="296"/>
      <c r="AF187" s="221"/>
      <c r="AG187" s="222"/>
      <c r="AH187" s="221"/>
      <c r="AI187" s="221"/>
      <c r="AJ187" s="221"/>
      <c r="AK187" s="221"/>
      <c r="AL187" s="221"/>
      <c r="AM187" s="221"/>
      <c r="AN187" s="221"/>
      <c r="AO187" s="221"/>
      <c r="AP187" s="221"/>
      <c r="AQ187" s="221"/>
      <c r="AR187" s="212"/>
      <c r="AS187" s="212"/>
      <c r="AT187" s="212"/>
      <c r="AU187" s="212"/>
      <c r="AV187" s="212"/>
      <c r="AW187" s="212"/>
      <c r="AX187" s="212"/>
      <c r="AY187" s="212"/>
      <c r="AZ187" s="212"/>
      <c r="BA187" s="212"/>
      <c r="BB187" s="212"/>
      <c r="BC187" s="212"/>
      <c r="BD187" s="1"/>
      <c r="BE187" s="213"/>
      <c r="BF187" s="213"/>
      <c r="BG187" s="213"/>
      <c r="BH187" s="213"/>
      <c r="BI187" s="213"/>
      <c r="BJ187" s="213"/>
      <c r="BK187" s="213"/>
      <c r="BL187" s="213"/>
      <c r="BM187" s="213"/>
      <c r="BN187" s="213"/>
      <c r="BO187" s="213"/>
      <c r="BP187" s="213"/>
      <c r="BQ187" s="213"/>
      <c r="BR187" s="213"/>
      <c r="BS187" s="213"/>
      <c r="BT187" s="213"/>
      <c r="BU187" s="213"/>
      <c r="BV187" s="213"/>
      <c r="BW187" s="213"/>
      <c r="BX187" s="213"/>
      <c r="BY187" s="213"/>
      <c r="BZ187" s="213"/>
      <c r="CA187" s="213"/>
      <c r="CB187" s="213"/>
      <c r="CC187" s="213"/>
      <c r="CD187" s="213"/>
      <c r="CE187" s="213"/>
      <c r="CF187" s="213"/>
      <c r="CG187" s="213"/>
      <c r="CH187" s="213"/>
      <c r="CI187" s="213"/>
      <c r="CJ187" s="213"/>
      <c r="CK187" s="213"/>
      <c r="CL187" s="213"/>
      <c r="CM187" s="213"/>
      <c r="CN187" s="213"/>
      <c r="CO187" s="213"/>
      <c r="CP187" s="213"/>
      <c r="CQ187" s="213"/>
      <c r="CR187" s="213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</row>
    <row r="188" spans="1:116" ht="12.75" hidden="1" customHeight="1" x14ac:dyDescent="0.2">
      <c r="A188" s="223"/>
      <c r="B188" s="223"/>
      <c r="C188" s="223"/>
      <c r="D188" s="223"/>
      <c r="E188" s="223"/>
      <c r="F188" s="223"/>
      <c r="G188" s="223"/>
      <c r="H188" s="223"/>
      <c r="I188" s="223"/>
      <c r="J188" s="224"/>
      <c r="K188" s="208"/>
      <c r="L188" s="208"/>
      <c r="M188" s="208"/>
      <c r="N188" s="208"/>
      <c r="O188" s="208"/>
      <c r="P188" s="225"/>
      <c r="Q188" s="225"/>
      <c r="R188" s="328"/>
      <c r="S188" s="296"/>
      <c r="T188" s="210"/>
      <c r="U188" s="210"/>
      <c r="V188" s="210"/>
      <c r="W188" s="210"/>
      <c r="X188" s="210"/>
      <c r="Y188" s="210"/>
      <c r="Z188" s="210"/>
      <c r="AA188" s="210"/>
      <c r="AB188" s="210"/>
      <c r="AC188" s="210"/>
      <c r="AD188" s="210"/>
      <c r="AE188" s="210"/>
      <c r="AF188" s="210"/>
      <c r="AG188" s="211"/>
      <c r="AH188" s="210"/>
      <c r="AI188" s="210"/>
      <c r="AJ188" s="210"/>
      <c r="AK188" s="210"/>
      <c r="AL188" s="210"/>
      <c r="AM188" s="210"/>
      <c r="AN188" s="210"/>
      <c r="AO188" s="210"/>
      <c r="AP188" s="210"/>
      <c r="AQ188" s="210"/>
      <c r="AR188" s="212"/>
      <c r="AS188" s="212"/>
      <c r="AT188" s="212"/>
      <c r="AU188" s="212"/>
      <c r="AV188" s="212"/>
      <c r="AW188" s="212"/>
      <c r="AX188" s="212"/>
      <c r="AY188" s="212"/>
      <c r="AZ188" s="212"/>
      <c r="BA188" s="212"/>
      <c r="BB188" s="212"/>
      <c r="BC188" s="212"/>
      <c r="BD188" s="1"/>
      <c r="BE188" s="213"/>
      <c r="BF188" s="213"/>
      <c r="BG188" s="213"/>
      <c r="BH188" s="213"/>
      <c r="BI188" s="213"/>
      <c r="BJ188" s="213"/>
      <c r="BK188" s="213"/>
      <c r="BL188" s="213"/>
      <c r="BM188" s="213"/>
      <c r="BN188" s="213"/>
      <c r="BO188" s="213"/>
      <c r="BP188" s="213"/>
      <c r="BQ188" s="213"/>
      <c r="BR188" s="213"/>
      <c r="BS188" s="213"/>
      <c r="BT188" s="213"/>
      <c r="BU188" s="213"/>
      <c r="BV188" s="213"/>
      <c r="BW188" s="213"/>
      <c r="BX188" s="213"/>
      <c r="BY188" s="213"/>
      <c r="BZ188" s="213"/>
      <c r="CA188" s="213"/>
      <c r="CB188" s="213"/>
      <c r="CC188" s="213"/>
      <c r="CD188" s="213"/>
      <c r="CE188" s="213"/>
      <c r="CF188" s="213"/>
      <c r="CG188" s="213"/>
      <c r="CH188" s="213"/>
      <c r="CI188" s="213"/>
      <c r="CJ188" s="213"/>
      <c r="CK188" s="213"/>
      <c r="CL188" s="213"/>
      <c r="CM188" s="213"/>
      <c r="CN188" s="213"/>
      <c r="CO188" s="213"/>
      <c r="CP188" s="213"/>
      <c r="CQ188" s="213"/>
      <c r="CR188" s="213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</row>
    <row r="189" spans="1:116" ht="15" hidden="1" customHeight="1" x14ac:dyDescent="0.2">
      <c r="A189" s="226"/>
      <c r="B189" s="361"/>
      <c r="C189" s="295"/>
      <c r="D189" s="295"/>
      <c r="E189" s="295"/>
      <c r="F189" s="295"/>
      <c r="G189" s="295"/>
      <c r="H189" s="296"/>
      <c r="I189" s="226"/>
      <c r="J189" s="226"/>
      <c r="K189" s="200"/>
      <c r="L189" s="200"/>
      <c r="M189" s="200"/>
      <c r="N189" s="200"/>
      <c r="O189" s="202"/>
      <c r="P189" s="227">
        <f>P184</f>
        <v>0</v>
      </c>
      <c r="Q189" s="227">
        <f t="shared" ref="Q189:R189" si="65">P189+Q184</f>
        <v>0</v>
      </c>
      <c r="R189" s="362">
        <f t="shared" si="65"/>
        <v>0</v>
      </c>
      <c r="S189" s="296"/>
      <c r="T189" s="228">
        <f>R189+T184</f>
        <v>0</v>
      </c>
      <c r="U189" s="228">
        <f t="shared" ref="U189:BC189" si="66">T189+U184</f>
        <v>0</v>
      </c>
      <c r="V189" s="228">
        <f t="shared" si="66"/>
        <v>0</v>
      </c>
      <c r="W189" s="228">
        <f t="shared" si="66"/>
        <v>0</v>
      </c>
      <c r="X189" s="228">
        <f t="shared" si="66"/>
        <v>0</v>
      </c>
      <c r="Y189" s="228">
        <f t="shared" si="66"/>
        <v>0</v>
      </c>
      <c r="Z189" s="228">
        <f t="shared" si="66"/>
        <v>0</v>
      </c>
      <c r="AA189" s="228">
        <f t="shared" si="66"/>
        <v>0</v>
      </c>
      <c r="AB189" s="228">
        <f t="shared" si="66"/>
        <v>0</v>
      </c>
      <c r="AC189" s="228">
        <f t="shared" si="66"/>
        <v>0</v>
      </c>
      <c r="AD189" s="228">
        <f t="shared" si="66"/>
        <v>0</v>
      </c>
      <c r="AE189" s="228">
        <f t="shared" si="66"/>
        <v>0</v>
      </c>
      <c r="AF189" s="228">
        <f t="shared" si="66"/>
        <v>0</v>
      </c>
      <c r="AG189" s="229">
        <f t="shared" si="66"/>
        <v>0</v>
      </c>
      <c r="AH189" s="228">
        <f t="shared" si="66"/>
        <v>0</v>
      </c>
      <c r="AI189" s="228">
        <f t="shared" si="66"/>
        <v>0</v>
      </c>
      <c r="AJ189" s="228">
        <f t="shared" si="66"/>
        <v>0</v>
      </c>
      <c r="AK189" s="228">
        <f t="shared" si="66"/>
        <v>0</v>
      </c>
      <c r="AL189" s="228" t="e">
        <f t="shared" si="66"/>
        <v>#REF!</v>
      </c>
      <c r="AM189" s="228" t="e">
        <f t="shared" si="66"/>
        <v>#REF!</v>
      </c>
      <c r="AN189" s="228" t="e">
        <f t="shared" si="66"/>
        <v>#REF!</v>
      </c>
      <c r="AO189" s="228" t="e">
        <f t="shared" si="66"/>
        <v>#REF!</v>
      </c>
      <c r="AP189" s="228" t="e">
        <f t="shared" si="66"/>
        <v>#REF!</v>
      </c>
      <c r="AQ189" s="228" t="e">
        <f t="shared" si="66"/>
        <v>#REF!</v>
      </c>
      <c r="AR189" s="228" t="e">
        <f t="shared" si="66"/>
        <v>#REF!</v>
      </c>
      <c r="AS189" s="228" t="e">
        <f t="shared" si="66"/>
        <v>#REF!</v>
      </c>
      <c r="AT189" s="228" t="e">
        <f t="shared" si="66"/>
        <v>#REF!</v>
      </c>
      <c r="AU189" s="228" t="e">
        <f t="shared" si="66"/>
        <v>#REF!</v>
      </c>
      <c r="AV189" s="228" t="e">
        <f t="shared" si="66"/>
        <v>#REF!</v>
      </c>
      <c r="AW189" s="228" t="e">
        <f t="shared" si="66"/>
        <v>#REF!</v>
      </c>
      <c r="AX189" s="228" t="e">
        <f t="shared" si="66"/>
        <v>#REF!</v>
      </c>
      <c r="AY189" s="228" t="e">
        <f t="shared" si="66"/>
        <v>#REF!</v>
      </c>
      <c r="AZ189" s="228" t="e">
        <f t="shared" si="66"/>
        <v>#REF!</v>
      </c>
      <c r="BA189" s="228" t="e">
        <f t="shared" si="66"/>
        <v>#REF!</v>
      </c>
      <c r="BB189" s="228" t="e">
        <f t="shared" si="66"/>
        <v>#REF!</v>
      </c>
      <c r="BC189" s="228" t="e">
        <f t="shared" si="66"/>
        <v>#REF!</v>
      </c>
      <c r="BD189" s="230"/>
      <c r="BE189" s="231"/>
      <c r="BF189" s="231"/>
      <c r="BG189" s="231"/>
      <c r="BH189" s="231"/>
      <c r="BI189" s="231"/>
      <c r="BJ189" s="231"/>
      <c r="BK189" s="231"/>
      <c r="BL189" s="231"/>
      <c r="BM189" s="231"/>
      <c r="BN189" s="231"/>
      <c r="BO189" s="231"/>
      <c r="BP189" s="231"/>
      <c r="BQ189" s="231"/>
      <c r="BR189" s="231"/>
      <c r="BS189" s="231"/>
      <c r="BT189" s="231"/>
      <c r="BU189" s="231"/>
      <c r="BV189" s="231"/>
      <c r="BW189" s="231"/>
      <c r="BX189" s="231"/>
      <c r="BY189" s="231"/>
      <c r="BZ189" s="231"/>
      <c r="CA189" s="231"/>
      <c r="CB189" s="231"/>
      <c r="CC189" s="231"/>
      <c r="CD189" s="231"/>
      <c r="CE189" s="231"/>
      <c r="CF189" s="231"/>
      <c r="CG189" s="231"/>
      <c r="CH189" s="231"/>
      <c r="CI189" s="231"/>
      <c r="CJ189" s="231"/>
      <c r="CK189" s="231"/>
      <c r="CL189" s="231"/>
      <c r="CM189" s="231"/>
      <c r="CN189" s="231"/>
      <c r="CO189" s="231"/>
      <c r="CP189" s="231"/>
      <c r="CQ189" s="231"/>
      <c r="CR189" s="231"/>
      <c r="CS189" s="230"/>
      <c r="CT189" s="230"/>
      <c r="CU189" s="230"/>
      <c r="CV189" s="230"/>
      <c r="CW189" s="230"/>
      <c r="CX189" s="230"/>
      <c r="CY189" s="230"/>
      <c r="CZ189" s="230"/>
      <c r="DA189" s="230"/>
      <c r="DB189" s="230"/>
      <c r="DC189" s="230"/>
      <c r="DD189" s="230"/>
      <c r="DE189" s="230"/>
      <c r="DF189" s="230"/>
      <c r="DG189" s="230"/>
      <c r="DH189" s="230"/>
      <c r="DI189" s="230"/>
      <c r="DJ189" s="230"/>
      <c r="DK189" s="230"/>
      <c r="DL189" s="230"/>
    </row>
    <row r="190" spans="1:116" ht="12.75" customHeight="1" x14ac:dyDescent="0.2">
      <c r="A190" s="363" t="s">
        <v>132</v>
      </c>
      <c r="B190" s="364"/>
      <c r="C190" s="364"/>
      <c r="D190" s="364"/>
      <c r="E190" s="364"/>
      <c r="F190" s="364"/>
      <c r="G190" s="364"/>
      <c r="H190" s="365"/>
      <c r="I190" s="232"/>
      <c r="J190" s="233"/>
      <c r="K190" s="234"/>
      <c r="L190" s="233"/>
      <c r="M190" s="233"/>
      <c r="N190" s="235"/>
      <c r="O190" s="236"/>
      <c r="P190" s="237"/>
      <c r="Q190" s="238"/>
      <c r="R190" s="239"/>
      <c r="S190" s="343">
        <f>P184+Q184+R184+T184+U184+V184+W184</f>
        <v>0</v>
      </c>
      <c r="T190" s="295"/>
      <c r="U190" s="295"/>
      <c r="V190" s="295"/>
      <c r="W190" s="296"/>
      <c r="X190" s="342">
        <f>X184+Y184+Z184+AA184</f>
        <v>0</v>
      </c>
      <c r="Y190" s="295"/>
      <c r="Z190" s="295"/>
      <c r="AA190" s="296"/>
      <c r="AB190" s="343">
        <f>AB184+AC184+AD184+AE184+AF184</f>
        <v>0</v>
      </c>
      <c r="AC190" s="295"/>
      <c r="AD190" s="295"/>
      <c r="AE190" s="295"/>
      <c r="AF190" s="296"/>
      <c r="AG190" s="342">
        <f>AG184+AH184+AI184+AJ184</f>
        <v>0</v>
      </c>
      <c r="AH190" s="295"/>
      <c r="AI190" s="295"/>
      <c r="AJ190" s="296"/>
      <c r="AK190" s="342" t="e">
        <f>AK184+AL184+AM184+AN184</f>
        <v>#REF!</v>
      </c>
      <c r="AL190" s="295"/>
      <c r="AM190" s="295"/>
      <c r="AN190" s="296"/>
      <c r="AO190" s="342" t="e">
        <f>AO184+AP184+AQ184+AR184</f>
        <v>#REF!</v>
      </c>
      <c r="AP190" s="295"/>
      <c r="AQ190" s="295"/>
      <c r="AR190" s="296"/>
      <c r="AS190" s="343" t="e">
        <f>AS184+AT184+AU184+AV184+AW184</f>
        <v>#REF!</v>
      </c>
      <c r="AT190" s="295"/>
      <c r="AU190" s="295"/>
      <c r="AV190" s="295"/>
      <c r="AW190" s="296"/>
      <c r="AX190" s="343">
        <f>AX184+AY184+AZ184+BA184+BB184</f>
        <v>0</v>
      </c>
      <c r="AY190" s="295"/>
      <c r="AZ190" s="295"/>
      <c r="BA190" s="295"/>
      <c r="BB190" s="296"/>
      <c r="BC190" s="240"/>
      <c r="BD190" s="241"/>
      <c r="BE190" s="242"/>
      <c r="BF190" s="243">
        <f>BF184</f>
        <v>0</v>
      </c>
      <c r="BG190" s="243">
        <f t="shared" ref="BG190:CR190" si="67">BF190+BG184</f>
        <v>7.1774609303677898E-3</v>
      </c>
      <c r="BH190" s="243">
        <f t="shared" si="67"/>
        <v>1.4677010877498642E-2</v>
      </c>
      <c r="BI190" s="243">
        <f t="shared" si="67"/>
        <v>3.1097523024296733E-2</v>
      </c>
      <c r="BJ190" s="243">
        <f t="shared" si="67"/>
        <v>4.539043165682892E-2</v>
      </c>
      <c r="BK190" s="243">
        <f t="shared" si="67"/>
        <v>5.7703397813951354E-2</v>
      </c>
      <c r="BL190" s="243">
        <f t="shared" si="67"/>
        <v>7.0868381754332452E-2</v>
      </c>
      <c r="BM190" s="243">
        <f t="shared" si="67"/>
        <v>8.7052419452654614E-2</v>
      </c>
      <c r="BN190" s="243">
        <f t="shared" si="67"/>
        <v>0.11266855626751826</v>
      </c>
      <c r="BO190" s="243">
        <f t="shared" si="67"/>
        <v>0.12879901450242021</v>
      </c>
      <c r="BP190" s="243">
        <f t="shared" si="67"/>
        <v>0.14513272859298082</v>
      </c>
      <c r="BQ190" s="243">
        <f t="shared" si="67"/>
        <v>0.16146644268354143</v>
      </c>
      <c r="BR190" s="243">
        <f t="shared" si="67"/>
        <v>0.18732275751079372</v>
      </c>
      <c r="BS190" s="243">
        <f t="shared" si="67"/>
        <v>0.21569008272575735</v>
      </c>
      <c r="BT190" s="243">
        <f t="shared" si="67"/>
        <v>0.22844571821925702</v>
      </c>
      <c r="BU190" s="243">
        <f t="shared" si="67"/>
        <v>0.25786736966047519</v>
      </c>
      <c r="BV190" s="243">
        <f t="shared" si="67"/>
        <v>0.28483878600217838</v>
      </c>
      <c r="BW190" s="243">
        <f t="shared" si="67"/>
        <v>0.33640343726030353</v>
      </c>
      <c r="BX190" s="243">
        <f t="shared" si="67"/>
        <v>0.35600710243307965</v>
      </c>
      <c r="BY190" s="243">
        <f t="shared" si="67"/>
        <v>0.38345473470006969</v>
      </c>
      <c r="BZ190" s="243">
        <f t="shared" si="67"/>
        <v>0.41090236696705973</v>
      </c>
      <c r="CA190" s="243">
        <f t="shared" si="67"/>
        <v>0.44521095435886943</v>
      </c>
      <c r="CB190" s="243">
        <f t="shared" si="67"/>
        <v>0.47771828925941656</v>
      </c>
      <c r="CC190" s="243">
        <f t="shared" si="67"/>
        <v>0.51040429834452361</v>
      </c>
      <c r="CD190" s="243">
        <f t="shared" si="67"/>
        <v>0.55320027359828305</v>
      </c>
      <c r="CE190" s="243">
        <f t="shared" si="67"/>
        <v>0.61114551892308366</v>
      </c>
      <c r="CF190" s="243">
        <f t="shared" si="67"/>
        <v>0.64932092559662602</v>
      </c>
      <c r="CG190" s="243">
        <f t="shared" si="67"/>
        <v>0.68749633227016838</v>
      </c>
      <c r="CH190" s="243">
        <f t="shared" si="67"/>
        <v>0.72918860872148716</v>
      </c>
      <c r="CI190" s="243">
        <f t="shared" si="67"/>
        <v>0.77482059949748194</v>
      </c>
      <c r="CJ190" s="243">
        <f t="shared" si="67"/>
        <v>0.81386148226202981</v>
      </c>
      <c r="CK190" s="243">
        <f t="shared" si="67"/>
        <v>0.85375378304256389</v>
      </c>
      <c r="CL190" s="243">
        <f t="shared" si="67"/>
        <v>0.88708768592894982</v>
      </c>
      <c r="CM190" s="243">
        <f t="shared" si="67"/>
        <v>0.92042158881533576</v>
      </c>
      <c r="CN190" s="243">
        <f t="shared" si="67"/>
        <v>0.9507595188072514</v>
      </c>
      <c r="CO190" s="243">
        <f t="shared" si="67"/>
        <v>0.97627134670952587</v>
      </c>
      <c r="CP190" s="243">
        <f t="shared" si="67"/>
        <v>0.99082804523282164</v>
      </c>
      <c r="CQ190" s="243">
        <f t="shared" si="67"/>
        <v>0.99993558219288958</v>
      </c>
      <c r="CR190" s="243">
        <f t="shared" si="67"/>
        <v>0.99999999999624223</v>
      </c>
      <c r="CS190" s="244"/>
      <c r="CT190" s="244"/>
      <c r="CU190" s="244"/>
      <c r="CV190" s="244"/>
      <c r="CW190" s="244"/>
      <c r="CX190" s="244"/>
      <c r="CY190" s="244"/>
      <c r="CZ190" s="244"/>
      <c r="DA190" s="244"/>
      <c r="DB190" s="244"/>
      <c r="DC190" s="244"/>
      <c r="DD190" s="244"/>
      <c r="DE190" s="244"/>
      <c r="DF190" s="244"/>
      <c r="DG190" s="244"/>
      <c r="DH190" s="244"/>
      <c r="DI190" s="244"/>
      <c r="DJ190" s="244"/>
      <c r="DK190" s="244"/>
      <c r="DL190" s="244"/>
    </row>
    <row r="191" spans="1:116" ht="12.75" customHeight="1" x14ac:dyDescent="0.2">
      <c r="A191" s="371" t="s">
        <v>133</v>
      </c>
      <c r="B191" s="372"/>
      <c r="C191" s="372"/>
      <c r="D191" s="372"/>
      <c r="E191" s="372"/>
      <c r="F191" s="372"/>
      <c r="G191" s="372"/>
      <c r="H191" s="373"/>
      <c r="I191" s="245"/>
      <c r="J191" s="246"/>
      <c r="K191" s="247"/>
      <c r="L191" s="246"/>
      <c r="M191" s="246"/>
      <c r="N191" s="248"/>
      <c r="O191" s="249"/>
      <c r="P191" s="250"/>
      <c r="Q191" s="251"/>
      <c r="R191" s="252"/>
      <c r="S191" s="345">
        <f>S190*50500000</f>
        <v>0</v>
      </c>
      <c r="T191" s="295"/>
      <c r="U191" s="295"/>
      <c r="V191" s="295"/>
      <c r="W191" s="296"/>
      <c r="X191" s="344">
        <f>X190*50500000</f>
        <v>0</v>
      </c>
      <c r="Y191" s="295"/>
      <c r="Z191" s="295"/>
      <c r="AA191" s="296"/>
      <c r="AB191" s="345">
        <f>AB190*50500000</f>
        <v>0</v>
      </c>
      <c r="AC191" s="295"/>
      <c r="AD191" s="295"/>
      <c r="AE191" s="295"/>
      <c r="AF191" s="296"/>
      <c r="AG191" s="344">
        <f>AG190*50500000</f>
        <v>0</v>
      </c>
      <c r="AH191" s="295"/>
      <c r="AI191" s="295"/>
      <c r="AJ191" s="296"/>
      <c r="AK191" s="344" t="e">
        <f>AK190*50500000</f>
        <v>#REF!</v>
      </c>
      <c r="AL191" s="295"/>
      <c r="AM191" s="295"/>
      <c r="AN191" s="296"/>
      <c r="AO191" s="344" t="e">
        <f>AO190*50500000</f>
        <v>#REF!</v>
      </c>
      <c r="AP191" s="295"/>
      <c r="AQ191" s="295"/>
      <c r="AR191" s="296"/>
      <c r="AS191" s="345" t="e">
        <f>AS190*50500000</f>
        <v>#REF!</v>
      </c>
      <c r="AT191" s="295"/>
      <c r="AU191" s="295"/>
      <c r="AV191" s="295"/>
      <c r="AW191" s="296"/>
      <c r="AX191" s="345">
        <f>AX190*50500000</f>
        <v>0</v>
      </c>
      <c r="AY191" s="295"/>
      <c r="AZ191" s="295"/>
      <c r="BA191" s="295"/>
      <c r="BB191" s="296"/>
      <c r="BC191" s="253"/>
      <c r="BD191" s="254"/>
      <c r="BE191" s="255"/>
      <c r="BF191" s="255"/>
      <c r="BG191" s="255"/>
      <c r="BH191" s="255"/>
      <c r="BI191" s="255"/>
      <c r="BJ191" s="255"/>
      <c r="BK191" s="255"/>
      <c r="BL191" s="255"/>
      <c r="BM191" s="255"/>
      <c r="BN191" s="255"/>
      <c r="BO191" s="255"/>
      <c r="BP191" s="255"/>
      <c r="BQ191" s="255"/>
      <c r="BR191" s="255"/>
      <c r="BS191" s="255"/>
      <c r="BT191" s="255"/>
      <c r="BU191" s="255"/>
      <c r="BV191" s="255"/>
      <c r="BW191" s="255"/>
      <c r="BX191" s="255"/>
      <c r="BY191" s="255"/>
      <c r="BZ191" s="255"/>
      <c r="CA191" s="255"/>
      <c r="CB191" s="255"/>
      <c r="CC191" s="255"/>
      <c r="CD191" s="255"/>
      <c r="CE191" s="255"/>
      <c r="CF191" s="255"/>
      <c r="CG191" s="255"/>
      <c r="CH191" s="255"/>
      <c r="CI191" s="255"/>
      <c r="CJ191" s="255"/>
      <c r="CK191" s="255"/>
      <c r="CL191" s="255"/>
      <c r="CM191" s="255"/>
      <c r="CN191" s="255"/>
      <c r="CO191" s="255"/>
      <c r="CP191" s="255"/>
      <c r="CQ191" s="255"/>
      <c r="CR191" s="255"/>
      <c r="CS191" s="255"/>
      <c r="CT191" s="255"/>
      <c r="CU191" s="255"/>
      <c r="CV191" s="255"/>
      <c r="CW191" s="255"/>
      <c r="CX191" s="255"/>
      <c r="CY191" s="255"/>
      <c r="CZ191" s="255"/>
      <c r="DA191" s="255"/>
      <c r="DB191" s="255"/>
      <c r="DC191" s="255"/>
      <c r="DD191" s="255"/>
      <c r="DE191" s="255"/>
      <c r="DF191" s="255"/>
      <c r="DG191" s="255"/>
      <c r="DH191" s="255"/>
      <c r="DI191" s="255"/>
      <c r="DJ191" s="255"/>
      <c r="DK191" s="255"/>
      <c r="DL191" s="255"/>
    </row>
    <row r="192" spans="1:116" ht="12.75" customHeight="1" x14ac:dyDescent="0.2">
      <c r="A192" s="374" t="s">
        <v>134</v>
      </c>
      <c r="B192" s="372"/>
      <c r="C192" s="372"/>
      <c r="D192" s="372"/>
      <c r="E192" s="372"/>
      <c r="F192" s="372"/>
      <c r="G192" s="372"/>
      <c r="H192" s="373"/>
      <c r="I192" s="256"/>
      <c r="J192" s="257"/>
      <c r="K192" s="258"/>
      <c r="L192" s="257"/>
      <c r="M192" s="257"/>
      <c r="N192" s="257"/>
      <c r="O192" s="257"/>
      <c r="P192" s="259"/>
      <c r="Q192" s="260"/>
      <c r="R192" s="261"/>
      <c r="S192" s="367">
        <f>S190</f>
        <v>0</v>
      </c>
      <c r="T192" s="295"/>
      <c r="U192" s="295"/>
      <c r="V192" s="295"/>
      <c r="W192" s="296"/>
      <c r="X192" s="370">
        <f>S192+X190</f>
        <v>0</v>
      </c>
      <c r="Y192" s="295"/>
      <c r="Z192" s="295"/>
      <c r="AA192" s="296"/>
      <c r="AB192" s="367">
        <f>AB190+X192</f>
        <v>0</v>
      </c>
      <c r="AC192" s="295"/>
      <c r="AD192" s="295"/>
      <c r="AE192" s="295"/>
      <c r="AF192" s="296"/>
      <c r="AG192" s="366">
        <f>AG190+AB192</f>
        <v>0</v>
      </c>
      <c r="AH192" s="295"/>
      <c r="AI192" s="295"/>
      <c r="AJ192" s="296"/>
      <c r="AK192" s="366" t="e">
        <f>AK190+AG192</f>
        <v>#REF!</v>
      </c>
      <c r="AL192" s="295"/>
      <c r="AM192" s="295"/>
      <c r="AN192" s="296"/>
      <c r="AO192" s="366" t="e">
        <f>AO190+AK192</f>
        <v>#REF!</v>
      </c>
      <c r="AP192" s="295"/>
      <c r="AQ192" s="295"/>
      <c r="AR192" s="296"/>
      <c r="AS192" s="367" t="e">
        <f>AS190+AO192</f>
        <v>#REF!</v>
      </c>
      <c r="AT192" s="295"/>
      <c r="AU192" s="295"/>
      <c r="AV192" s="295"/>
      <c r="AW192" s="296"/>
      <c r="AX192" s="367" t="e">
        <f>AX190+AS192</f>
        <v>#REF!</v>
      </c>
      <c r="AY192" s="295"/>
      <c r="AZ192" s="295"/>
      <c r="BA192" s="295"/>
      <c r="BB192" s="296"/>
      <c r="BC192" s="262"/>
      <c r="BD192" s="263"/>
      <c r="BE192" s="264"/>
      <c r="BF192" s="264"/>
      <c r="BG192" s="264"/>
      <c r="BH192" s="264"/>
      <c r="BI192" s="264"/>
      <c r="BJ192" s="264"/>
      <c r="BK192" s="264"/>
      <c r="BL192" s="264"/>
      <c r="BM192" s="264"/>
      <c r="BN192" s="264"/>
      <c r="BO192" s="264"/>
      <c r="BP192" s="264"/>
      <c r="BQ192" s="264"/>
      <c r="BR192" s="264"/>
      <c r="BS192" s="264"/>
      <c r="BT192" s="264"/>
      <c r="BU192" s="264"/>
      <c r="BV192" s="264"/>
      <c r="BW192" s="264"/>
      <c r="BX192" s="264"/>
      <c r="BY192" s="264"/>
      <c r="BZ192" s="264"/>
      <c r="CA192" s="264"/>
      <c r="CB192" s="264"/>
      <c r="CC192" s="264"/>
      <c r="CD192" s="264"/>
      <c r="CE192" s="264"/>
      <c r="CF192" s="264"/>
      <c r="CG192" s="264"/>
      <c r="CH192" s="264"/>
      <c r="CI192" s="264"/>
      <c r="CJ192" s="264"/>
      <c r="CK192" s="264"/>
      <c r="CL192" s="264"/>
      <c r="CM192" s="264"/>
      <c r="CN192" s="264"/>
      <c r="CO192" s="264"/>
      <c r="CP192" s="264"/>
      <c r="CQ192" s="264"/>
      <c r="CR192" s="264"/>
      <c r="CS192" s="264"/>
      <c r="CT192" s="264"/>
      <c r="CU192" s="264"/>
      <c r="CV192" s="264"/>
      <c r="CW192" s="264"/>
      <c r="CX192" s="264"/>
      <c r="CY192" s="264"/>
      <c r="CZ192" s="264"/>
      <c r="DA192" s="264"/>
      <c r="DB192" s="264"/>
      <c r="DC192" s="264"/>
      <c r="DD192" s="264"/>
      <c r="DE192" s="264"/>
      <c r="DF192" s="264"/>
      <c r="DG192" s="264"/>
      <c r="DH192" s="264"/>
      <c r="DI192" s="264"/>
      <c r="DJ192" s="264"/>
      <c r="DK192" s="264"/>
      <c r="DL192" s="264"/>
    </row>
    <row r="193" spans="1:116" ht="12.75" customHeight="1" x14ac:dyDescent="0.2">
      <c r="A193" s="375" t="s">
        <v>135</v>
      </c>
      <c r="B193" s="376"/>
      <c r="C193" s="376"/>
      <c r="D193" s="376"/>
      <c r="E193" s="376"/>
      <c r="F193" s="376"/>
      <c r="G193" s="376"/>
      <c r="H193" s="377"/>
      <c r="I193" s="265"/>
      <c r="J193" s="266"/>
      <c r="K193" s="267"/>
      <c r="L193" s="268"/>
      <c r="M193" s="268"/>
      <c r="N193" s="268"/>
      <c r="O193" s="269"/>
      <c r="P193" s="270"/>
      <c r="Q193" s="271"/>
      <c r="R193" s="272"/>
      <c r="S193" s="368">
        <f>S192*50500000</f>
        <v>0</v>
      </c>
      <c r="T193" s="295"/>
      <c r="U193" s="295"/>
      <c r="V193" s="295"/>
      <c r="W193" s="296"/>
      <c r="X193" s="369">
        <f>X192*50500000</f>
        <v>0</v>
      </c>
      <c r="Y193" s="295"/>
      <c r="Z193" s="295"/>
      <c r="AA193" s="296"/>
      <c r="AB193" s="368">
        <f>AB192*50500000</f>
        <v>0</v>
      </c>
      <c r="AC193" s="295"/>
      <c r="AD193" s="295"/>
      <c r="AE193" s="295"/>
      <c r="AF193" s="296"/>
      <c r="AG193" s="369">
        <f>AG192*50500000</f>
        <v>0</v>
      </c>
      <c r="AH193" s="295"/>
      <c r="AI193" s="295"/>
      <c r="AJ193" s="296"/>
      <c r="AK193" s="369" t="e">
        <f>AK192*50500000</f>
        <v>#REF!</v>
      </c>
      <c r="AL193" s="295"/>
      <c r="AM193" s="295"/>
      <c r="AN193" s="296"/>
      <c r="AO193" s="369" t="e">
        <f>AO192*50500000</f>
        <v>#REF!</v>
      </c>
      <c r="AP193" s="295"/>
      <c r="AQ193" s="295"/>
      <c r="AR193" s="296"/>
      <c r="AS193" s="368" t="e">
        <f>AS192*50500000</f>
        <v>#REF!</v>
      </c>
      <c r="AT193" s="295"/>
      <c r="AU193" s="295"/>
      <c r="AV193" s="295"/>
      <c r="AW193" s="296"/>
      <c r="AX193" s="368" t="e">
        <f>AX192*50500000</f>
        <v>#REF!</v>
      </c>
      <c r="AY193" s="295"/>
      <c r="AZ193" s="295"/>
      <c r="BA193" s="295"/>
      <c r="BB193" s="296"/>
      <c r="BC193" s="273"/>
      <c r="BD193" s="274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</row>
    <row r="194" spans="1:116" ht="12.75" customHeight="1" x14ac:dyDescent="0.2">
      <c r="A194" s="275"/>
      <c r="B194" s="276"/>
      <c r="C194" s="276"/>
      <c r="D194" s="276"/>
      <c r="E194" s="276"/>
      <c r="F194" s="276"/>
      <c r="G194" s="277"/>
      <c r="H194" s="277"/>
      <c r="I194" s="277"/>
      <c r="J194" s="278"/>
      <c r="K194" s="279"/>
      <c r="L194" s="279"/>
      <c r="M194" s="279"/>
      <c r="N194" s="279"/>
      <c r="O194" s="279"/>
      <c r="P194" s="277"/>
      <c r="Q194" s="277"/>
      <c r="R194" s="277"/>
      <c r="S194" s="277"/>
      <c r="T194" s="280"/>
      <c r="U194" s="280"/>
      <c r="V194" s="280"/>
      <c r="W194" s="280"/>
      <c r="X194" s="280"/>
      <c r="Y194" s="280"/>
      <c r="Z194" s="280"/>
      <c r="AA194" s="280"/>
      <c r="AB194" s="280"/>
      <c r="AC194" s="280"/>
      <c r="AD194" s="280"/>
      <c r="AE194" s="280"/>
      <c r="AF194" s="280"/>
      <c r="AG194" s="280"/>
      <c r="AH194" s="280"/>
      <c r="AI194" s="280"/>
      <c r="AJ194" s="280"/>
      <c r="AK194" s="280"/>
      <c r="AL194" s="280"/>
      <c r="AM194" s="280"/>
      <c r="AN194" s="280"/>
      <c r="AO194" s="280"/>
      <c r="AP194" s="280"/>
      <c r="AQ194" s="281"/>
      <c r="AR194" s="281"/>
      <c r="AS194" s="281"/>
      <c r="AT194" s="281"/>
      <c r="AU194" s="281"/>
      <c r="AV194" s="281"/>
      <c r="AW194" s="281"/>
      <c r="AX194" s="282"/>
      <c r="AY194" s="281"/>
      <c r="AZ194" s="281"/>
      <c r="BA194" s="281"/>
      <c r="BB194" s="281"/>
      <c r="BC194" s="283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</row>
    <row r="195" spans="1:116" ht="19.5" customHeight="1" x14ac:dyDescent="0.2">
      <c r="A195" s="284" t="s">
        <v>136</v>
      </c>
      <c r="B195" s="284"/>
      <c r="C195" s="358">
        <v>40466</v>
      </c>
      <c r="D195" s="295"/>
      <c r="E195" s="295"/>
      <c r="F195" s="296"/>
      <c r="G195" s="378"/>
      <c r="H195" s="303"/>
      <c r="I195" s="303"/>
      <c r="J195" s="303"/>
      <c r="K195" s="303"/>
      <c r="L195" s="303"/>
      <c r="M195" s="303"/>
      <c r="N195" s="303"/>
      <c r="O195" s="303"/>
      <c r="P195" s="303"/>
      <c r="Q195" s="303"/>
      <c r="R195" s="303"/>
      <c r="S195" s="303"/>
      <c r="T195" s="303"/>
      <c r="U195" s="303"/>
      <c r="V195" s="303"/>
      <c r="W195" s="304"/>
      <c r="X195" s="285" t="s">
        <v>137</v>
      </c>
      <c r="Y195" s="349" t="s">
        <v>138</v>
      </c>
      <c r="Z195" s="295"/>
      <c r="AA195" s="295"/>
      <c r="AB195" s="296"/>
      <c r="AC195" s="349" t="s">
        <v>139</v>
      </c>
      <c r="AD195" s="296"/>
      <c r="AE195" s="349" t="s">
        <v>140</v>
      </c>
      <c r="AF195" s="296"/>
      <c r="AG195" s="349" t="s">
        <v>141</v>
      </c>
      <c r="AH195" s="296"/>
      <c r="AI195" s="349" t="s">
        <v>142</v>
      </c>
      <c r="AJ195" s="296"/>
      <c r="AK195" s="349" t="s">
        <v>143</v>
      </c>
      <c r="AL195" s="295"/>
      <c r="AM195" s="295"/>
      <c r="AN195" s="295"/>
      <c r="AO195" s="295"/>
      <c r="AP195" s="295"/>
      <c r="AQ195" s="295"/>
      <c r="AR195" s="295"/>
      <c r="AS195" s="295"/>
      <c r="AT195" s="295"/>
      <c r="AU195" s="295"/>
      <c r="AV195" s="295"/>
      <c r="AW195" s="295"/>
      <c r="AX195" s="295"/>
      <c r="AY195" s="295"/>
      <c r="AZ195" s="295"/>
      <c r="BA195" s="295"/>
      <c r="BB195" s="295"/>
      <c r="BC195" s="296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</row>
    <row r="196" spans="1:116" ht="19.5" customHeight="1" x14ac:dyDescent="0.2">
      <c r="A196" s="284" t="s">
        <v>144</v>
      </c>
      <c r="B196" s="284"/>
      <c r="C196" s="358">
        <v>40471</v>
      </c>
      <c r="D196" s="295"/>
      <c r="E196" s="295"/>
      <c r="F196" s="296"/>
      <c r="G196" s="346"/>
      <c r="H196" s="303"/>
      <c r="I196" s="303"/>
      <c r="J196" s="303"/>
      <c r="K196" s="303"/>
      <c r="L196" s="303"/>
      <c r="M196" s="303"/>
      <c r="N196" s="303"/>
      <c r="O196" s="303"/>
      <c r="P196" s="303"/>
      <c r="Q196" s="303"/>
      <c r="R196" s="303"/>
      <c r="S196" s="303"/>
      <c r="T196" s="303"/>
      <c r="U196" s="303"/>
      <c r="V196" s="303"/>
      <c r="W196" s="304"/>
      <c r="X196" s="286">
        <v>40466</v>
      </c>
      <c r="Y196" s="347" t="s">
        <v>145</v>
      </c>
      <c r="Z196" s="295"/>
      <c r="AA196" s="295"/>
      <c r="AB196" s="296"/>
      <c r="AC196" s="339">
        <v>0</v>
      </c>
      <c r="AD196" s="296"/>
      <c r="AE196" s="348" t="s">
        <v>146</v>
      </c>
      <c r="AF196" s="296"/>
      <c r="AG196" s="348" t="s">
        <v>147</v>
      </c>
      <c r="AH196" s="296"/>
      <c r="AI196" s="348" t="s">
        <v>148</v>
      </c>
      <c r="AJ196" s="296"/>
      <c r="AK196" s="349"/>
      <c r="AL196" s="295"/>
      <c r="AM196" s="295"/>
      <c r="AN196" s="295"/>
      <c r="AO196" s="295"/>
      <c r="AP196" s="295"/>
      <c r="AQ196" s="295"/>
      <c r="AR196" s="295"/>
      <c r="AS196" s="295"/>
      <c r="AT196" s="295"/>
      <c r="AU196" s="295"/>
      <c r="AV196" s="295"/>
      <c r="AW196" s="295"/>
      <c r="AX196" s="295"/>
      <c r="AY196" s="295"/>
      <c r="AZ196" s="295"/>
      <c r="BA196" s="295"/>
      <c r="BB196" s="295"/>
      <c r="BC196" s="296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</row>
    <row r="197" spans="1:116" ht="19.5" customHeight="1" x14ac:dyDescent="0.2">
      <c r="A197" s="284" t="s">
        <v>149</v>
      </c>
      <c r="B197" s="284"/>
      <c r="C197" s="358">
        <v>40714</v>
      </c>
      <c r="D197" s="295"/>
      <c r="E197" s="295"/>
      <c r="F197" s="296"/>
      <c r="G197" s="350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2"/>
      <c r="X197" s="288"/>
      <c r="Y197" s="360"/>
      <c r="Z197" s="295"/>
      <c r="AA197" s="295"/>
      <c r="AB197" s="296"/>
      <c r="AC197" s="339"/>
      <c r="AD197" s="296"/>
      <c r="AE197" s="348"/>
      <c r="AF197" s="296"/>
      <c r="AG197" s="348"/>
      <c r="AH197" s="296"/>
      <c r="AI197" s="348"/>
      <c r="AJ197" s="296"/>
      <c r="AK197" s="349"/>
      <c r="AL197" s="295"/>
      <c r="AM197" s="295"/>
      <c r="AN197" s="295"/>
      <c r="AO197" s="295"/>
      <c r="AP197" s="295"/>
      <c r="AQ197" s="295"/>
      <c r="AR197" s="295"/>
      <c r="AS197" s="295"/>
      <c r="AT197" s="295"/>
      <c r="AU197" s="295"/>
      <c r="AV197" s="295"/>
      <c r="AW197" s="295"/>
      <c r="AX197" s="295"/>
      <c r="AY197" s="295"/>
      <c r="AZ197" s="295"/>
      <c r="BA197" s="295"/>
      <c r="BB197" s="295"/>
      <c r="BC197" s="296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</row>
    <row r="198" spans="1:116" ht="19.5" customHeight="1" x14ac:dyDescent="0.2">
      <c r="A198" s="284" t="s">
        <v>150</v>
      </c>
      <c r="B198" s="284"/>
      <c r="C198" s="358"/>
      <c r="D198" s="295"/>
      <c r="E198" s="295"/>
      <c r="F198" s="296"/>
      <c r="G198" s="353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2"/>
      <c r="X198" s="289"/>
      <c r="Y198" s="290"/>
      <c r="Z198" s="291"/>
      <c r="AA198" s="291"/>
      <c r="AB198" s="18"/>
      <c r="AC198" s="17"/>
      <c r="AD198" s="292"/>
      <c r="AE198" s="287"/>
      <c r="AF198" s="292"/>
      <c r="AG198" s="287"/>
      <c r="AH198" s="292"/>
      <c r="AI198" s="287"/>
      <c r="AJ198" s="292"/>
      <c r="AK198" s="349"/>
      <c r="AL198" s="295"/>
      <c r="AM198" s="295"/>
      <c r="AN198" s="295"/>
      <c r="AO198" s="295"/>
      <c r="AP198" s="295"/>
      <c r="AQ198" s="295"/>
      <c r="AR198" s="295"/>
      <c r="AS198" s="295"/>
      <c r="AT198" s="295"/>
      <c r="AU198" s="295"/>
      <c r="AV198" s="295"/>
      <c r="AW198" s="295"/>
      <c r="AX198" s="295"/>
      <c r="AY198" s="295"/>
      <c r="AZ198" s="295"/>
      <c r="BA198" s="295"/>
      <c r="BB198" s="295"/>
      <c r="BC198" s="296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</row>
    <row r="199" spans="1:116" ht="19.5" customHeight="1" x14ac:dyDescent="0.2">
      <c r="A199" s="357" t="s">
        <v>151</v>
      </c>
      <c r="B199" s="296"/>
      <c r="C199" s="358"/>
      <c r="D199" s="295"/>
      <c r="E199" s="295"/>
      <c r="F199" s="296"/>
      <c r="G199" s="354"/>
      <c r="H199" s="355"/>
      <c r="I199" s="355"/>
      <c r="J199" s="355"/>
      <c r="K199" s="355"/>
      <c r="L199" s="355"/>
      <c r="M199" s="355"/>
      <c r="N199" s="355"/>
      <c r="O199" s="355"/>
      <c r="P199" s="355"/>
      <c r="Q199" s="355"/>
      <c r="R199" s="355"/>
      <c r="S199" s="355"/>
      <c r="T199" s="355"/>
      <c r="U199" s="355"/>
      <c r="V199" s="355"/>
      <c r="W199" s="356"/>
      <c r="X199" s="289"/>
      <c r="Y199" s="290"/>
      <c r="Z199" s="291"/>
      <c r="AA199" s="291"/>
      <c r="AB199" s="18"/>
      <c r="AC199" s="17"/>
      <c r="AD199" s="292"/>
      <c r="AE199" s="287"/>
      <c r="AF199" s="292"/>
      <c r="AG199" s="287"/>
      <c r="AH199" s="292"/>
      <c r="AI199" s="287"/>
      <c r="AJ199" s="292"/>
      <c r="AK199" s="349"/>
      <c r="AL199" s="295"/>
      <c r="AM199" s="295"/>
      <c r="AN199" s="295"/>
      <c r="AO199" s="295"/>
      <c r="AP199" s="295"/>
      <c r="AQ199" s="295"/>
      <c r="AR199" s="295"/>
      <c r="AS199" s="295"/>
      <c r="AT199" s="295"/>
      <c r="AU199" s="295"/>
      <c r="AV199" s="295"/>
      <c r="AW199" s="295"/>
      <c r="AX199" s="295"/>
      <c r="AY199" s="295"/>
      <c r="AZ199" s="295"/>
      <c r="BA199" s="295"/>
      <c r="BB199" s="295"/>
      <c r="BC199" s="296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</row>
    <row r="200" spans="1:116" ht="12.75" hidden="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3"/>
      <c r="L200" s="4"/>
      <c r="M200" s="4"/>
      <c r="N200" s="4"/>
      <c r="O200" s="5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</row>
    <row r="201" spans="1:116" ht="12.75" hidden="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3"/>
      <c r="L201" s="4"/>
      <c r="M201" s="4"/>
      <c r="N201" s="4"/>
      <c r="O201" s="5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</row>
    <row r="202" spans="1:116" ht="12.75" hidden="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3"/>
      <c r="L202" s="4"/>
      <c r="M202" s="4"/>
      <c r="N202" s="4"/>
      <c r="O202" s="5"/>
      <c r="P202" s="359"/>
      <c r="Q202" s="351"/>
      <c r="R202" s="351"/>
      <c r="S202" s="35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</row>
    <row r="203" spans="1:116" ht="12.75" hidden="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3"/>
      <c r="L203" s="293"/>
      <c r="M203" s="293"/>
      <c r="N203" s="293"/>
      <c r="O203" s="5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</row>
    <row r="204" spans="1:116" ht="12.75" hidden="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3"/>
      <c r="L204" s="4"/>
      <c r="M204" s="4"/>
      <c r="N204" s="4"/>
      <c r="O204" s="5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</row>
    <row r="205" spans="1:116" ht="12.75" hidden="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3"/>
      <c r="L205" s="4"/>
      <c r="M205" s="4"/>
      <c r="N205" s="4"/>
      <c r="O205" s="5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</row>
    <row r="206" spans="1:116" ht="12.75" hidden="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3"/>
      <c r="L206" s="4"/>
      <c r="M206" s="4"/>
      <c r="N206" s="4"/>
      <c r="O206" s="5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</row>
    <row r="207" spans="1:116" ht="12.75" hidden="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3"/>
      <c r="L207" s="4"/>
      <c r="M207" s="4"/>
      <c r="N207" s="4"/>
      <c r="O207" s="5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</row>
    <row r="208" spans="1:116" ht="12.75" hidden="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3"/>
      <c r="L208" s="4"/>
      <c r="M208" s="4"/>
      <c r="N208" s="4"/>
      <c r="O208" s="5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</row>
    <row r="209" spans="1:116" ht="12.75" hidden="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3"/>
      <c r="L209" s="4"/>
      <c r="M209" s="4"/>
      <c r="N209" s="4"/>
      <c r="O209" s="5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</row>
    <row r="210" spans="1:116" ht="12.75" hidden="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3"/>
      <c r="L210" s="4"/>
      <c r="M210" s="4"/>
      <c r="N210" s="4"/>
      <c r="O210" s="5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</row>
    <row r="211" spans="1:116" ht="12.75" hidden="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3"/>
      <c r="L211" s="4"/>
      <c r="M211" s="4"/>
      <c r="N211" s="4"/>
      <c r="O211" s="5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</row>
    <row r="212" spans="1:116" ht="12.75" hidden="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3"/>
      <c r="L212" s="4"/>
      <c r="M212" s="4"/>
      <c r="N212" s="4"/>
      <c r="O212" s="5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</row>
    <row r="213" spans="1:116" ht="12.75" hidden="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3"/>
      <c r="L213" s="4"/>
      <c r="M213" s="4"/>
      <c r="N213" s="4"/>
      <c r="O213" s="5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</row>
    <row r="214" spans="1:116" ht="12.75" hidden="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3"/>
      <c r="L214" s="4"/>
      <c r="M214" s="4"/>
      <c r="N214" s="4"/>
      <c r="O214" s="5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</row>
    <row r="215" spans="1:116" ht="12.75" hidden="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3"/>
      <c r="L215" s="4"/>
      <c r="M215" s="4"/>
      <c r="N215" s="4"/>
      <c r="O215" s="5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</row>
    <row r="216" spans="1:116" ht="12.75" hidden="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3"/>
      <c r="L216" s="4"/>
      <c r="M216" s="4"/>
      <c r="N216" s="4"/>
      <c r="O216" s="5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</row>
    <row r="217" spans="1:116" ht="12.75" hidden="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3"/>
      <c r="L217" s="4"/>
      <c r="M217" s="4"/>
      <c r="N217" s="4"/>
      <c r="O217" s="5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</row>
    <row r="218" spans="1:116" ht="12.75" hidden="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3"/>
      <c r="L218" s="4"/>
      <c r="M218" s="4"/>
      <c r="N218" s="4"/>
      <c r="O218" s="5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</row>
    <row r="219" spans="1:116" ht="12.75" hidden="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3"/>
      <c r="L219" s="4"/>
      <c r="M219" s="4"/>
      <c r="N219" s="4"/>
      <c r="O219" s="5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</row>
    <row r="220" spans="1:116" ht="12.75" hidden="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3"/>
      <c r="L220" s="4"/>
      <c r="M220" s="4"/>
      <c r="N220" s="4"/>
      <c r="O220" s="5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</row>
    <row r="221" spans="1:116" ht="12.75" hidden="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3"/>
      <c r="L221" s="4"/>
      <c r="M221" s="4"/>
      <c r="N221" s="4"/>
      <c r="O221" s="5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</row>
    <row r="222" spans="1:116" ht="12.75" hidden="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3"/>
      <c r="L222" s="4"/>
      <c r="M222" s="4"/>
      <c r="N222" s="4"/>
      <c r="O222" s="5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</row>
    <row r="223" spans="1:116" ht="12.75" hidden="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3"/>
      <c r="L223" s="4"/>
      <c r="M223" s="4"/>
      <c r="N223" s="4"/>
      <c r="O223" s="5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</row>
    <row r="224" spans="1:116" ht="12.75" hidden="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3"/>
      <c r="L224" s="4"/>
      <c r="M224" s="4"/>
      <c r="N224" s="4"/>
      <c r="O224" s="5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</row>
    <row r="225" spans="1:116" ht="12.75" hidden="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3"/>
      <c r="L225" s="4"/>
      <c r="M225" s="4"/>
      <c r="N225" s="4"/>
      <c r="O225" s="5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</row>
    <row r="226" spans="1:116" ht="12.75" hidden="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3"/>
      <c r="L226" s="4"/>
      <c r="M226" s="4"/>
      <c r="N226" s="4"/>
      <c r="O226" s="5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</row>
    <row r="227" spans="1:116" ht="12.75" hidden="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3"/>
      <c r="L227" s="4"/>
      <c r="M227" s="4"/>
      <c r="N227" s="4"/>
      <c r="O227" s="5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</row>
    <row r="228" spans="1:116" ht="12.75" hidden="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3"/>
      <c r="L228" s="4"/>
      <c r="M228" s="4"/>
      <c r="N228" s="4"/>
      <c r="O228" s="5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</row>
    <row r="229" spans="1:116" ht="12.75" hidden="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3"/>
      <c r="L229" s="4"/>
      <c r="M229" s="4"/>
      <c r="N229" s="4"/>
      <c r="O229" s="5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</row>
    <row r="230" spans="1:116" ht="12.75" hidden="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3"/>
      <c r="L230" s="4"/>
      <c r="M230" s="4"/>
      <c r="N230" s="4"/>
      <c r="O230" s="5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</row>
    <row r="231" spans="1:116" ht="12.75" hidden="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3"/>
      <c r="L231" s="4"/>
      <c r="M231" s="4"/>
      <c r="N231" s="4"/>
      <c r="O231" s="5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</row>
    <row r="232" spans="1:116" ht="12.75" hidden="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3"/>
      <c r="L232" s="4"/>
      <c r="M232" s="4"/>
      <c r="N232" s="4"/>
      <c r="O232" s="5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</row>
    <row r="233" spans="1:116" ht="12.75" hidden="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3"/>
      <c r="L233" s="4"/>
      <c r="M233" s="4"/>
      <c r="N233" s="4"/>
      <c r="O233" s="5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</row>
    <row r="234" spans="1:116" ht="12.75" hidden="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3"/>
      <c r="L234" s="4"/>
      <c r="M234" s="4"/>
      <c r="N234" s="4"/>
      <c r="O234" s="5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</row>
    <row r="235" spans="1:116" ht="12.75" hidden="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3"/>
      <c r="L235" s="4"/>
      <c r="M235" s="4"/>
      <c r="N235" s="4"/>
      <c r="O235" s="5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</row>
    <row r="236" spans="1:116" ht="12.75" hidden="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3"/>
      <c r="L236" s="4"/>
      <c r="M236" s="4"/>
      <c r="N236" s="4"/>
      <c r="O236" s="5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</row>
    <row r="237" spans="1:116" ht="12.75" hidden="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3"/>
      <c r="L237" s="4"/>
      <c r="M237" s="4"/>
      <c r="N237" s="4"/>
      <c r="O237" s="5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</row>
    <row r="238" spans="1:116" ht="12.75" hidden="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3"/>
      <c r="L238" s="4"/>
      <c r="M238" s="4"/>
      <c r="N238" s="4"/>
      <c r="O238" s="5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</row>
    <row r="239" spans="1:116" ht="12.75" hidden="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3"/>
      <c r="L239" s="4"/>
      <c r="M239" s="4"/>
      <c r="N239" s="4"/>
      <c r="O239" s="5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</row>
    <row r="240" spans="1:116" ht="12.75" hidden="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3"/>
      <c r="L240" s="4"/>
      <c r="M240" s="4"/>
      <c r="N240" s="4"/>
      <c r="O240" s="5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</row>
    <row r="241" spans="1:116" ht="12.75" hidden="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3"/>
      <c r="L241" s="4"/>
      <c r="M241" s="4"/>
      <c r="N241" s="4"/>
      <c r="O241" s="5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</row>
    <row r="242" spans="1:116" ht="12.75" hidden="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3"/>
      <c r="L242" s="4"/>
      <c r="M242" s="4"/>
      <c r="N242" s="4"/>
      <c r="O242" s="5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</row>
    <row r="243" spans="1:116" ht="12.75" hidden="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3"/>
      <c r="L243" s="4"/>
      <c r="M243" s="4"/>
      <c r="N243" s="4"/>
      <c r="O243" s="5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</row>
    <row r="244" spans="1:116" ht="12.75" hidden="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3"/>
      <c r="L244" s="4"/>
      <c r="M244" s="4"/>
      <c r="N244" s="4"/>
      <c r="O244" s="5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</row>
    <row r="245" spans="1:116" ht="12.75" hidden="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3"/>
      <c r="L245" s="4"/>
      <c r="M245" s="4"/>
      <c r="N245" s="4"/>
      <c r="O245" s="5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</row>
    <row r="246" spans="1:116" ht="12.75" hidden="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3"/>
      <c r="L246" s="4"/>
      <c r="M246" s="4"/>
      <c r="N246" s="4"/>
      <c r="O246" s="5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</row>
    <row r="247" spans="1:116" ht="12.75" hidden="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3"/>
      <c r="L247" s="4"/>
      <c r="M247" s="4"/>
      <c r="N247" s="4"/>
      <c r="O247" s="5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</row>
    <row r="248" spans="1:116" ht="12.75" hidden="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3"/>
      <c r="L248" s="4"/>
      <c r="M248" s="4"/>
      <c r="N248" s="4"/>
      <c r="O248" s="5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</row>
    <row r="249" spans="1:116" ht="12.75" hidden="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3"/>
      <c r="L249" s="4"/>
      <c r="M249" s="4"/>
      <c r="N249" s="4"/>
      <c r="O249" s="5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</row>
    <row r="250" spans="1:116" ht="12.75" hidden="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3"/>
      <c r="L250" s="4"/>
      <c r="M250" s="4"/>
      <c r="N250" s="4"/>
      <c r="O250" s="5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</row>
    <row r="251" spans="1:116" ht="12.75" hidden="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3"/>
      <c r="L251" s="4"/>
      <c r="M251" s="4"/>
      <c r="N251" s="4"/>
      <c r="O251" s="5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</row>
    <row r="252" spans="1:116" ht="12.75" hidden="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3"/>
      <c r="L252" s="4"/>
      <c r="M252" s="4"/>
      <c r="N252" s="4"/>
      <c r="O252" s="5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</row>
    <row r="253" spans="1:116" ht="12.75" hidden="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3"/>
      <c r="L253" s="4"/>
      <c r="M253" s="4"/>
      <c r="N253" s="4"/>
      <c r="O253" s="5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</row>
    <row r="254" spans="1:116" ht="12.75" hidden="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3"/>
      <c r="L254" s="4"/>
      <c r="M254" s="4"/>
      <c r="N254" s="4"/>
      <c r="O254" s="5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</row>
    <row r="255" spans="1:116" ht="12.75" hidden="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3"/>
      <c r="L255" s="4"/>
      <c r="M255" s="4"/>
      <c r="N255" s="4"/>
      <c r="O255" s="5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</row>
    <row r="256" spans="1:116" ht="12.75" hidden="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3"/>
      <c r="L256" s="4"/>
      <c r="M256" s="4"/>
      <c r="N256" s="4"/>
      <c r="O256" s="5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</row>
    <row r="257" spans="1:116" ht="12.75" hidden="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3"/>
      <c r="L257" s="4"/>
      <c r="M257" s="4"/>
      <c r="N257" s="4"/>
      <c r="O257" s="5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</row>
    <row r="258" spans="1:116" ht="12.75" hidden="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3"/>
      <c r="L258" s="4"/>
      <c r="M258" s="4"/>
      <c r="N258" s="4"/>
      <c r="O258" s="5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</row>
    <row r="259" spans="1:116" ht="12.75" hidden="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3"/>
      <c r="L259" s="4"/>
      <c r="M259" s="4"/>
      <c r="N259" s="4"/>
      <c r="O259" s="5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</row>
    <row r="260" spans="1:116" ht="12.75" hidden="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3"/>
      <c r="L260" s="4"/>
      <c r="M260" s="4"/>
      <c r="N260" s="4"/>
      <c r="O260" s="5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</row>
    <row r="261" spans="1:116" ht="12.75" hidden="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3"/>
      <c r="L261" s="4"/>
      <c r="M261" s="4"/>
      <c r="N261" s="4"/>
      <c r="O261" s="5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</row>
    <row r="262" spans="1:116" ht="12.75" hidden="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3"/>
      <c r="L262" s="4"/>
      <c r="M262" s="4"/>
      <c r="N262" s="4"/>
      <c r="O262" s="5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</row>
    <row r="263" spans="1:116" ht="12.75" hidden="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3"/>
      <c r="L263" s="4"/>
      <c r="M263" s="4"/>
      <c r="N263" s="4"/>
      <c r="O263" s="5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</row>
    <row r="264" spans="1:116" ht="12.75" hidden="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3"/>
      <c r="L264" s="4"/>
      <c r="M264" s="4"/>
      <c r="N264" s="4"/>
      <c r="O264" s="5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</row>
    <row r="265" spans="1:116" ht="12.75" hidden="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3"/>
      <c r="L265" s="4"/>
      <c r="M265" s="4"/>
      <c r="N265" s="4"/>
      <c r="O265" s="5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</row>
    <row r="266" spans="1:116" ht="12.75" hidden="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3"/>
      <c r="L266" s="4"/>
      <c r="M266" s="4"/>
      <c r="N266" s="4"/>
      <c r="O266" s="5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</row>
    <row r="267" spans="1:116" ht="12.75" hidden="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3"/>
      <c r="L267" s="4"/>
      <c r="M267" s="4"/>
      <c r="N267" s="4"/>
      <c r="O267" s="5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</row>
    <row r="268" spans="1:116" ht="12.75" hidden="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3"/>
      <c r="L268" s="4"/>
      <c r="M268" s="4"/>
      <c r="N268" s="4"/>
      <c r="O268" s="5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</row>
    <row r="269" spans="1:116" ht="12.75" hidden="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3"/>
      <c r="L269" s="4"/>
      <c r="M269" s="4"/>
      <c r="N269" s="4"/>
      <c r="O269" s="5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</row>
    <row r="270" spans="1:116" ht="12.75" hidden="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3"/>
      <c r="L270" s="4"/>
      <c r="M270" s="4"/>
      <c r="N270" s="4"/>
      <c r="O270" s="5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</row>
    <row r="271" spans="1:116" ht="12.75" hidden="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3"/>
      <c r="L271" s="4"/>
      <c r="M271" s="4"/>
      <c r="N271" s="4"/>
      <c r="O271" s="5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</row>
    <row r="272" spans="1:116" ht="12.75" hidden="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3"/>
      <c r="L272" s="4"/>
      <c r="M272" s="4"/>
      <c r="N272" s="4"/>
      <c r="O272" s="5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</row>
    <row r="273" spans="1:116" ht="12.75" hidden="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3"/>
      <c r="L273" s="4"/>
      <c r="M273" s="4"/>
      <c r="N273" s="4"/>
      <c r="O273" s="5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</row>
    <row r="274" spans="1:116" ht="12.75" hidden="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3"/>
      <c r="L274" s="4"/>
      <c r="M274" s="4"/>
      <c r="N274" s="4"/>
      <c r="O274" s="5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</row>
    <row r="275" spans="1:116" ht="12.75" hidden="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3"/>
      <c r="L275" s="4"/>
      <c r="M275" s="4"/>
      <c r="N275" s="4"/>
      <c r="O275" s="5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</row>
    <row r="276" spans="1:116" ht="12.75" hidden="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3"/>
      <c r="L276" s="4"/>
      <c r="M276" s="4"/>
      <c r="N276" s="4"/>
      <c r="O276" s="5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</row>
    <row r="277" spans="1:116" ht="12.75" hidden="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3"/>
      <c r="L277" s="4"/>
      <c r="M277" s="4"/>
      <c r="N277" s="4"/>
      <c r="O277" s="5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</row>
    <row r="278" spans="1:116" ht="12.75" hidden="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3"/>
      <c r="L278" s="4"/>
      <c r="M278" s="4"/>
      <c r="N278" s="4"/>
      <c r="O278" s="5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</row>
    <row r="279" spans="1:116" ht="12.75" hidden="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3"/>
      <c r="L279" s="4"/>
      <c r="M279" s="4"/>
      <c r="N279" s="4"/>
      <c r="O279" s="5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</row>
    <row r="280" spans="1:116" ht="12.75" hidden="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3"/>
      <c r="L280" s="4"/>
      <c r="M280" s="4"/>
      <c r="N280" s="4"/>
      <c r="O280" s="5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</row>
    <row r="281" spans="1:116" ht="12.75" hidden="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3"/>
      <c r="L281" s="4"/>
      <c r="M281" s="4"/>
      <c r="N281" s="4"/>
      <c r="O281" s="5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</row>
    <row r="282" spans="1:116" ht="12.75" hidden="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3"/>
      <c r="L282" s="4"/>
      <c r="M282" s="4"/>
      <c r="N282" s="4"/>
      <c r="O282" s="5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</row>
    <row r="283" spans="1:116" ht="12.75" hidden="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3"/>
      <c r="L283" s="4"/>
      <c r="M283" s="4"/>
      <c r="N283" s="4"/>
      <c r="O283" s="5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</row>
    <row r="284" spans="1:116" ht="12.75" hidden="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3"/>
      <c r="L284" s="4"/>
      <c r="M284" s="4"/>
      <c r="N284" s="4"/>
      <c r="O284" s="5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</row>
    <row r="285" spans="1:116" ht="12.75" hidden="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3"/>
      <c r="L285" s="4"/>
      <c r="M285" s="4"/>
      <c r="N285" s="4"/>
      <c r="O285" s="5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</row>
    <row r="286" spans="1:116" ht="12.75" hidden="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3"/>
      <c r="L286" s="4"/>
      <c r="M286" s="4"/>
      <c r="N286" s="4"/>
      <c r="O286" s="5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</row>
    <row r="287" spans="1:116" ht="12.75" hidden="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3"/>
      <c r="L287" s="4"/>
      <c r="M287" s="4"/>
      <c r="N287" s="4"/>
      <c r="O287" s="5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</row>
    <row r="288" spans="1:116" ht="12.75" hidden="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3"/>
      <c r="L288" s="4"/>
      <c r="M288" s="4"/>
      <c r="N288" s="4"/>
      <c r="O288" s="5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</row>
    <row r="289" spans="1:116" ht="12.75" hidden="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3"/>
      <c r="L289" s="4"/>
      <c r="M289" s="4"/>
      <c r="N289" s="4"/>
      <c r="O289" s="5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</row>
    <row r="290" spans="1:116" ht="12.75" hidden="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3"/>
      <c r="L290" s="4"/>
      <c r="M290" s="4"/>
      <c r="N290" s="4"/>
      <c r="O290" s="5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</row>
    <row r="291" spans="1:116" ht="12.75" hidden="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3"/>
      <c r="L291" s="4"/>
      <c r="M291" s="4"/>
      <c r="N291" s="4"/>
      <c r="O291" s="5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</row>
    <row r="292" spans="1:116" ht="12.75" hidden="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3"/>
      <c r="L292" s="4"/>
      <c r="M292" s="4"/>
      <c r="N292" s="4"/>
      <c r="O292" s="5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</row>
    <row r="293" spans="1:116" ht="12.75" hidden="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3"/>
      <c r="L293" s="4"/>
      <c r="M293" s="4"/>
      <c r="N293" s="4"/>
      <c r="O293" s="5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</row>
    <row r="294" spans="1:116" ht="12.75" hidden="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3"/>
      <c r="L294" s="4"/>
      <c r="M294" s="4"/>
      <c r="N294" s="4"/>
      <c r="O294" s="5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</row>
    <row r="295" spans="1:116" ht="12.75" hidden="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3"/>
      <c r="L295" s="4"/>
      <c r="M295" s="4"/>
      <c r="N295" s="4"/>
      <c r="O295" s="5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</row>
    <row r="296" spans="1:116" ht="12.75" hidden="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3"/>
      <c r="L296" s="4"/>
      <c r="M296" s="4"/>
      <c r="N296" s="4"/>
      <c r="O296" s="5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</row>
    <row r="297" spans="1:116" ht="12.75" hidden="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3"/>
      <c r="L297" s="4"/>
      <c r="M297" s="4"/>
      <c r="N297" s="4"/>
      <c r="O297" s="5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</row>
    <row r="298" spans="1:116" ht="12.75" hidden="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3"/>
      <c r="L298" s="4"/>
      <c r="M298" s="4"/>
      <c r="N298" s="4"/>
      <c r="O298" s="5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</row>
    <row r="299" spans="1:116" ht="12.75" hidden="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3"/>
      <c r="L299" s="4"/>
      <c r="M299" s="4"/>
      <c r="N299" s="4"/>
      <c r="O299" s="5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</row>
    <row r="300" spans="1:116" ht="12.75" hidden="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3"/>
      <c r="L300" s="4"/>
      <c r="M300" s="4"/>
      <c r="N300" s="4"/>
      <c r="O300" s="5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</row>
    <row r="301" spans="1:116" ht="12.75" hidden="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3"/>
      <c r="L301" s="4"/>
      <c r="M301" s="4"/>
      <c r="N301" s="4"/>
      <c r="O301" s="5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</row>
    <row r="302" spans="1:116" ht="12.75" hidden="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3"/>
      <c r="L302" s="4"/>
      <c r="M302" s="4"/>
      <c r="N302" s="4"/>
      <c r="O302" s="5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</row>
    <row r="303" spans="1:116" ht="12.75" hidden="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3"/>
      <c r="L303" s="4"/>
      <c r="M303" s="4"/>
      <c r="N303" s="4"/>
      <c r="O303" s="5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</row>
    <row r="304" spans="1:116" ht="12.75" hidden="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3"/>
      <c r="L304" s="4"/>
      <c r="M304" s="4"/>
      <c r="N304" s="4"/>
      <c r="O304" s="5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</row>
    <row r="305" spans="1:116" ht="12.75" hidden="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3"/>
      <c r="L305" s="4"/>
      <c r="M305" s="4"/>
      <c r="N305" s="4"/>
      <c r="O305" s="5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</row>
    <row r="306" spans="1:116" ht="12.75" hidden="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3"/>
      <c r="L306" s="4"/>
      <c r="M306" s="4"/>
      <c r="N306" s="4"/>
      <c r="O306" s="5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</row>
    <row r="307" spans="1:116" ht="12.75" hidden="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3"/>
      <c r="L307" s="4"/>
      <c r="M307" s="4"/>
      <c r="N307" s="4"/>
      <c r="O307" s="5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</row>
    <row r="308" spans="1:116" ht="12.75" hidden="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3"/>
      <c r="L308" s="4"/>
      <c r="M308" s="4"/>
      <c r="N308" s="4"/>
      <c r="O308" s="5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</row>
    <row r="309" spans="1:116" ht="12.75" hidden="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3"/>
      <c r="L309" s="4"/>
      <c r="M309" s="4"/>
      <c r="N309" s="4"/>
      <c r="O309" s="5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</row>
    <row r="310" spans="1:116" ht="12.75" hidden="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3"/>
      <c r="L310" s="4"/>
      <c r="M310" s="4"/>
      <c r="N310" s="4"/>
      <c r="O310" s="5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</row>
    <row r="311" spans="1:116" ht="12.75" hidden="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3"/>
      <c r="L311" s="4"/>
      <c r="M311" s="4"/>
      <c r="N311" s="4"/>
      <c r="O311" s="5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</row>
    <row r="312" spans="1:116" ht="12.75" hidden="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3"/>
      <c r="L312" s="4"/>
      <c r="M312" s="4"/>
      <c r="N312" s="4"/>
      <c r="O312" s="5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</row>
    <row r="313" spans="1:116" ht="12.75" hidden="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3"/>
      <c r="L313" s="4"/>
      <c r="M313" s="4"/>
      <c r="N313" s="4"/>
      <c r="O313" s="5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</row>
    <row r="314" spans="1:116" ht="12.75" hidden="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3"/>
      <c r="L314" s="4"/>
      <c r="M314" s="4"/>
      <c r="N314" s="4"/>
      <c r="O314" s="5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</row>
    <row r="315" spans="1:116" ht="12.75" hidden="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3"/>
      <c r="L315" s="4"/>
      <c r="M315" s="4"/>
      <c r="N315" s="4"/>
      <c r="O315" s="5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</row>
    <row r="316" spans="1:116" ht="12.75" hidden="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3"/>
      <c r="L316" s="4"/>
      <c r="M316" s="4"/>
      <c r="N316" s="4"/>
      <c r="O316" s="5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</row>
    <row r="317" spans="1:116" ht="12.75" hidden="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3"/>
      <c r="L317" s="4"/>
      <c r="M317" s="4"/>
      <c r="N317" s="4"/>
      <c r="O317" s="5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</row>
    <row r="318" spans="1:116" ht="12.75" hidden="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3"/>
      <c r="L318" s="4"/>
      <c r="M318" s="4"/>
      <c r="N318" s="4"/>
      <c r="O318" s="5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</row>
    <row r="319" spans="1:116" ht="12.75" hidden="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3"/>
      <c r="L319" s="4"/>
      <c r="M319" s="4"/>
      <c r="N319" s="4"/>
      <c r="O319" s="5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</row>
    <row r="320" spans="1:116" ht="12.75" hidden="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3"/>
      <c r="L320" s="4"/>
      <c r="M320" s="4"/>
      <c r="N320" s="4"/>
      <c r="O320" s="5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</row>
    <row r="321" spans="1:116" ht="12.75" hidden="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3"/>
      <c r="L321" s="4"/>
      <c r="M321" s="4"/>
      <c r="N321" s="4"/>
      <c r="O321" s="5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</row>
    <row r="322" spans="1:116" ht="12.75" hidden="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3"/>
      <c r="L322" s="4"/>
      <c r="M322" s="4"/>
      <c r="N322" s="4"/>
      <c r="O322" s="5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</row>
    <row r="323" spans="1:116" ht="12.75" hidden="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3"/>
      <c r="L323" s="4"/>
      <c r="M323" s="4"/>
      <c r="N323" s="4"/>
      <c r="O323" s="5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</row>
    <row r="324" spans="1:116" ht="12.75" hidden="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3"/>
      <c r="L324" s="4"/>
      <c r="M324" s="4"/>
      <c r="N324" s="4"/>
      <c r="O324" s="5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</row>
    <row r="325" spans="1:116" ht="12.75" hidden="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3"/>
      <c r="L325" s="4"/>
      <c r="M325" s="4"/>
      <c r="N325" s="4"/>
      <c r="O325" s="5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</row>
    <row r="326" spans="1:116" ht="12.75" hidden="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3"/>
      <c r="L326" s="4"/>
      <c r="M326" s="4"/>
      <c r="N326" s="4"/>
      <c r="O326" s="5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</row>
    <row r="327" spans="1:116" ht="12.75" hidden="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3"/>
      <c r="L327" s="4"/>
      <c r="M327" s="4"/>
      <c r="N327" s="4"/>
      <c r="O327" s="5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</row>
    <row r="328" spans="1:116" ht="12.75" hidden="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3"/>
      <c r="L328" s="4"/>
      <c r="M328" s="4"/>
      <c r="N328" s="4"/>
      <c r="O328" s="5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</row>
    <row r="329" spans="1:116" ht="12.75" hidden="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3"/>
      <c r="L329" s="4"/>
      <c r="M329" s="4"/>
      <c r="N329" s="4"/>
      <c r="O329" s="5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</row>
    <row r="330" spans="1:116" ht="12.75" hidden="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3"/>
      <c r="L330" s="4"/>
      <c r="M330" s="4"/>
      <c r="N330" s="4"/>
      <c r="O330" s="5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</row>
    <row r="331" spans="1:116" ht="12.75" hidden="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3"/>
      <c r="L331" s="4"/>
      <c r="M331" s="4"/>
      <c r="N331" s="4"/>
      <c r="O331" s="5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</row>
    <row r="332" spans="1:116" ht="12.75" hidden="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3"/>
      <c r="L332" s="4"/>
      <c r="M332" s="4"/>
      <c r="N332" s="4"/>
      <c r="O332" s="5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</row>
    <row r="333" spans="1:116" ht="12.75" hidden="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3"/>
      <c r="L333" s="4"/>
      <c r="M333" s="4"/>
      <c r="N333" s="4"/>
      <c r="O333" s="5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</row>
    <row r="334" spans="1:116" ht="12.75" hidden="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3"/>
      <c r="L334" s="4"/>
      <c r="M334" s="4"/>
      <c r="N334" s="4"/>
      <c r="O334" s="5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</row>
    <row r="335" spans="1:116" ht="12.75" hidden="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3"/>
      <c r="L335" s="4"/>
      <c r="M335" s="4"/>
      <c r="N335" s="4"/>
      <c r="O335" s="5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</row>
    <row r="336" spans="1:116" ht="12.75" hidden="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3"/>
      <c r="L336" s="4"/>
      <c r="M336" s="4"/>
      <c r="N336" s="4"/>
      <c r="O336" s="5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</row>
    <row r="337" spans="1:116" ht="12.75" hidden="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3"/>
      <c r="L337" s="4"/>
      <c r="M337" s="4"/>
      <c r="N337" s="4"/>
      <c r="O337" s="5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</row>
    <row r="338" spans="1:116" ht="12.75" hidden="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3"/>
      <c r="L338" s="4"/>
      <c r="M338" s="4"/>
      <c r="N338" s="4"/>
      <c r="O338" s="5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</row>
    <row r="339" spans="1:116" ht="12.75" hidden="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3"/>
      <c r="L339" s="4"/>
      <c r="M339" s="4"/>
      <c r="N339" s="4"/>
      <c r="O339" s="5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</row>
    <row r="340" spans="1:116" ht="12.75" hidden="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3"/>
      <c r="L340" s="4"/>
      <c r="M340" s="4"/>
      <c r="N340" s="4"/>
      <c r="O340" s="5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</row>
    <row r="341" spans="1:116" ht="12.75" hidden="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3"/>
      <c r="L341" s="4"/>
      <c r="M341" s="4"/>
      <c r="N341" s="4"/>
      <c r="O341" s="5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</row>
    <row r="342" spans="1:116" ht="12.75" hidden="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3"/>
      <c r="L342" s="4"/>
      <c r="M342" s="4"/>
      <c r="N342" s="4"/>
      <c r="O342" s="5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</row>
    <row r="343" spans="1:116" ht="12.75" hidden="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3"/>
      <c r="L343" s="4"/>
      <c r="M343" s="4"/>
      <c r="N343" s="4"/>
      <c r="O343" s="5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</row>
    <row r="344" spans="1:116" ht="12.75" hidden="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3"/>
      <c r="L344" s="4"/>
      <c r="M344" s="4"/>
      <c r="N344" s="4"/>
      <c r="O344" s="5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</row>
    <row r="345" spans="1:116" ht="12.75" hidden="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3"/>
      <c r="L345" s="4"/>
      <c r="M345" s="4"/>
      <c r="N345" s="4"/>
      <c r="O345" s="5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</row>
    <row r="346" spans="1:116" ht="12.75" hidden="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3"/>
      <c r="L346" s="4"/>
      <c r="M346" s="4"/>
      <c r="N346" s="4"/>
      <c r="O346" s="5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</row>
    <row r="347" spans="1:116" ht="12.75" hidden="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3"/>
      <c r="L347" s="4"/>
      <c r="M347" s="4"/>
      <c r="N347" s="4"/>
      <c r="O347" s="5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</row>
    <row r="348" spans="1:116" ht="12.75" hidden="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3"/>
      <c r="L348" s="4"/>
      <c r="M348" s="4"/>
      <c r="N348" s="4"/>
      <c r="O348" s="5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</row>
    <row r="349" spans="1:116" ht="12.75" hidden="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3"/>
      <c r="L349" s="4"/>
      <c r="M349" s="4"/>
      <c r="N349" s="4"/>
      <c r="O349" s="5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</row>
    <row r="350" spans="1:116" ht="12.75" hidden="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3"/>
      <c r="L350" s="4"/>
      <c r="M350" s="4"/>
      <c r="N350" s="4"/>
      <c r="O350" s="5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</row>
    <row r="351" spans="1:116" ht="12.75" hidden="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3"/>
      <c r="L351" s="4"/>
      <c r="M351" s="4"/>
      <c r="N351" s="4"/>
      <c r="O351" s="5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</row>
    <row r="352" spans="1:116" ht="12.75" hidden="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3"/>
      <c r="L352" s="4"/>
      <c r="M352" s="4"/>
      <c r="N352" s="4"/>
      <c r="O352" s="5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</row>
    <row r="353" spans="1:116" ht="12.75" hidden="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3"/>
      <c r="L353" s="4"/>
      <c r="M353" s="4"/>
      <c r="N353" s="4"/>
      <c r="O353" s="5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</row>
    <row r="354" spans="1:116" ht="12.75" hidden="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3"/>
      <c r="L354" s="4"/>
      <c r="M354" s="4"/>
      <c r="N354" s="4"/>
      <c r="O354" s="5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</row>
    <row r="355" spans="1:116" ht="12.75" hidden="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3"/>
      <c r="L355" s="4"/>
      <c r="M355" s="4"/>
      <c r="N355" s="4"/>
      <c r="O355" s="5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</row>
    <row r="356" spans="1:116" ht="12.75" hidden="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3"/>
      <c r="L356" s="4"/>
      <c r="M356" s="4"/>
      <c r="N356" s="4"/>
      <c r="O356" s="5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</row>
    <row r="357" spans="1:116" ht="12.75" hidden="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3"/>
      <c r="L357" s="4"/>
      <c r="M357" s="4"/>
      <c r="N357" s="4"/>
      <c r="O357" s="5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</row>
    <row r="358" spans="1:116" ht="12.75" hidden="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3"/>
      <c r="L358" s="4"/>
      <c r="M358" s="4"/>
      <c r="N358" s="4"/>
      <c r="O358" s="5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</row>
    <row r="359" spans="1:116" ht="12.75" hidden="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3"/>
      <c r="L359" s="4"/>
      <c r="M359" s="4"/>
      <c r="N359" s="4"/>
      <c r="O359" s="5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</row>
    <row r="360" spans="1:116" ht="12.75" hidden="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3"/>
      <c r="L360" s="4"/>
      <c r="M360" s="4"/>
      <c r="N360" s="4"/>
      <c r="O360" s="5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</row>
    <row r="361" spans="1:116" ht="12.75" hidden="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3"/>
      <c r="L361" s="4"/>
      <c r="M361" s="4"/>
      <c r="N361" s="4"/>
      <c r="O361" s="5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</row>
    <row r="362" spans="1:116" ht="12.75" hidden="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3"/>
      <c r="L362" s="4"/>
      <c r="M362" s="4"/>
      <c r="N362" s="4"/>
      <c r="O362" s="5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</row>
    <row r="363" spans="1:116" ht="12.75" hidden="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3"/>
      <c r="L363" s="4"/>
      <c r="M363" s="4"/>
      <c r="N363" s="4"/>
      <c r="O363" s="5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</row>
    <row r="364" spans="1:116" ht="12.75" hidden="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3"/>
      <c r="L364" s="4"/>
      <c r="M364" s="4"/>
      <c r="N364" s="4"/>
      <c r="O364" s="5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</row>
    <row r="365" spans="1:116" ht="12.75" hidden="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3"/>
      <c r="L365" s="4"/>
      <c r="M365" s="4"/>
      <c r="N365" s="4"/>
      <c r="O365" s="5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</row>
    <row r="366" spans="1:116" ht="12.75" hidden="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3"/>
      <c r="L366" s="4"/>
      <c r="M366" s="4"/>
      <c r="N366" s="4"/>
      <c r="O366" s="5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</row>
    <row r="367" spans="1:116" ht="12.75" hidden="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3"/>
      <c r="L367" s="4"/>
      <c r="M367" s="4"/>
      <c r="N367" s="4"/>
      <c r="O367" s="5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</row>
    <row r="368" spans="1:116" ht="12.75" hidden="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3"/>
      <c r="L368" s="4"/>
      <c r="M368" s="4"/>
      <c r="N368" s="4"/>
      <c r="O368" s="5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</row>
    <row r="369" spans="1:116" ht="12.75" hidden="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3"/>
      <c r="L369" s="4"/>
      <c r="M369" s="4"/>
      <c r="N369" s="4"/>
      <c r="O369" s="5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</row>
    <row r="370" spans="1:116" ht="12.75" hidden="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3"/>
      <c r="L370" s="4"/>
      <c r="M370" s="4"/>
      <c r="N370" s="4"/>
      <c r="O370" s="5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</row>
    <row r="371" spans="1:116" ht="12.75" hidden="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3"/>
      <c r="L371" s="4"/>
      <c r="M371" s="4"/>
      <c r="N371" s="4"/>
      <c r="O371" s="5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</row>
    <row r="372" spans="1:116" ht="12.75" hidden="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3"/>
      <c r="L372" s="4"/>
      <c r="M372" s="4"/>
      <c r="N372" s="4"/>
      <c r="O372" s="5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</row>
    <row r="373" spans="1:116" ht="12.75" hidden="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3"/>
      <c r="L373" s="4"/>
      <c r="M373" s="4"/>
      <c r="N373" s="4"/>
      <c r="O373" s="5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</row>
    <row r="374" spans="1:116" ht="12.75" hidden="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3"/>
      <c r="L374" s="4"/>
      <c r="M374" s="4"/>
      <c r="N374" s="4"/>
      <c r="O374" s="5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</row>
    <row r="375" spans="1:116" ht="12.75" hidden="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3"/>
      <c r="L375" s="4"/>
      <c r="M375" s="4"/>
      <c r="N375" s="4"/>
      <c r="O375" s="5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</row>
    <row r="376" spans="1:116" ht="12.75" hidden="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3"/>
      <c r="L376" s="4"/>
      <c r="M376" s="4"/>
      <c r="N376" s="4"/>
      <c r="O376" s="5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</row>
    <row r="377" spans="1:116" ht="12.75" hidden="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3"/>
      <c r="L377" s="4"/>
      <c r="M377" s="4"/>
      <c r="N377" s="4"/>
      <c r="O377" s="5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</row>
    <row r="378" spans="1:116" ht="12.75" hidden="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3"/>
      <c r="L378" s="4"/>
      <c r="M378" s="4"/>
      <c r="N378" s="4"/>
      <c r="O378" s="5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</row>
    <row r="379" spans="1:116" ht="12.75" hidden="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3"/>
      <c r="L379" s="4"/>
      <c r="M379" s="4"/>
      <c r="N379" s="4"/>
      <c r="O379" s="5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</row>
    <row r="380" spans="1:116" ht="12.75" hidden="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3"/>
      <c r="L380" s="4"/>
      <c r="M380" s="4"/>
      <c r="N380" s="4"/>
      <c r="O380" s="5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</row>
    <row r="381" spans="1:116" ht="12.75" hidden="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3"/>
      <c r="L381" s="4"/>
      <c r="M381" s="4"/>
      <c r="N381" s="4"/>
      <c r="O381" s="5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</row>
    <row r="382" spans="1:116" ht="12.75" hidden="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3"/>
      <c r="L382" s="4"/>
      <c r="M382" s="4"/>
      <c r="N382" s="4"/>
      <c r="O382" s="5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</row>
    <row r="383" spans="1:116" ht="12.75" hidden="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3"/>
      <c r="L383" s="4"/>
      <c r="M383" s="4"/>
      <c r="N383" s="4"/>
      <c r="O383" s="5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</row>
    <row r="384" spans="1:116" ht="12.75" hidden="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3"/>
      <c r="L384" s="4"/>
      <c r="M384" s="4"/>
      <c r="N384" s="4"/>
      <c r="O384" s="5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</row>
    <row r="385" spans="1:116" ht="12.75" hidden="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3"/>
      <c r="L385" s="4"/>
      <c r="M385" s="4"/>
      <c r="N385" s="4"/>
      <c r="O385" s="5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</row>
    <row r="386" spans="1:116" ht="12.75" hidden="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3"/>
      <c r="L386" s="4"/>
      <c r="M386" s="4"/>
      <c r="N386" s="4"/>
      <c r="O386" s="5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</row>
    <row r="387" spans="1:116" ht="12.75" hidden="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3"/>
      <c r="L387" s="4"/>
      <c r="M387" s="4"/>
      <c r="N387" s="4"/>
      <c r="O387" s="5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</row>
    <row r="388" spans="1:116" ht="12.75" hidden="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3"/>
      <c r="L388" s="4"/>
      <c r="M388" s="4"/>
      <c r="N388" s="4"/>
      <c r="O388" s="5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</row>
    <row r="389" spans="1:116" ht="12.75" hidden="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3"/>
      <c r="L389" s="4"/>
      <c r="M389" s="4"/>
      <c r="N389" s="4"/>
      <c r="O389" s="5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</row>
    <row r="390" spans="1:116" ht="12.75" hidden="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3"/>
      <c r="L390" s="4"/>
      <c r="M390" s="4"/>
      <c r="N390" s="4"/>
      <c r="O390" s="5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</row>
    <row r="391" spans="1:116" ht="12.75" hidden="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3"/>
      <c r="L391" s="4"/>
      <c r="M391" s="4"/>
      <c r="N391" s="4"/>
      <c r="O391" s="5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</row>
    <row r="392" spans="1:116" ht="12.75" hidden="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3"/>
      <c r="L392" s="4"/>
      <c r="M392" s="4"/>
      <c r="N392" s="4"/>
      <c r="O392" s="5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</row>
    <row r="393" spans="1:116" ht="12.75" hidden="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3"/>
      <c r="L393" s="4"/>
      <c r="M393" s="4"/>
      <c r="N393" s="4"/>
      <c r="O393" s="5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</row>
    <row r="394" spans="1:116" ht="12.75" hidden="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3"/>
      <c r="L394" s="4"/>
      <c r="M394" s="4"/>
      <c r="N394" s="4"/>
      <c r="O394" s="5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</row>
    <row r="395" spans="1:116" ht="12.75" hidden="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3"/>
      <c r="L395" s="4"/>
      <c r="M395" s="4"/>
      <c r="N395" s="4"/>
      <c r="O395" s="5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</row>
    <row r="396" spans="1:116" ht="12.75" hidden="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3"/>
      <c r="L396" s="4"/>
      <c r="M396" s="4"/>
      <c r="N396" s="4"/>
      <c r="O396" s="5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</row>
    <row r="397" spans="1:116" ht="12.75" hidden="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3"/>
      <c r="L397" s="4"/>
      <c r="M397" s="4"/>
      <c r="N397" s="4"/>
      <c r="O397" s="5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</row>
    <row r="398" spans="1:116" ht="12.75" hidden="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3"/>
      <c r="L398" s="4"/>
      <c r="M398" s="4"/>
      <c r="N398" s="4"/>
      <c r="O398" s="5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</row>
    <row r="399" spans="1:116" ht="12.75" hidden="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3"/>
      <c r="L399" s="4"/>
      <c r="M399" s="4"/>
      <c r="N399" s="4"/>
      <c r="O399" s="5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</row>
    <row r="400" spans="1:116" ht="12.75" hidden="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3"/>
      <c r="L400" s="4"/>
      <c r="M400" s="4"/>
      <c r="N400" s="4"/>
      <c r="O400" s="5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</row>
    <row r="401" spans="1:116" ht="12.75" hidden="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3"/>
      <c r="L401" s="4"/>
      <c r="M401" s="4"/>
      <c r="N401" s="4"/>
      <c r="O401" s="5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</row>
    <row r="402" spans="1:116" ht="12.75" hidden="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3"/>
      <c r="L402" s="4"/>
      <c r="M402" s="4"/>
      <c r="N402" s="4"/>
      <c r="O402" s="5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</row>
    <row r="403" spans="1:116" ht="12.75" hidden="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3"/>
      <c r="L403" s="4"/>
      <c r="M403" s="4"/>
      <c r="N403" s="4"/>
      <c r="O403" s="5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</row>
    <row r="404" spans="1:116" ht="12.75" hidden="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3"/>
      <c r="L404" s="4"/>
      <c r="M404" s="4"/>
      <c r="N404" s="4"/>
      <c r="O404" s="5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</row>
    <row r="405" spans="1:116" ht="12.75" hidden="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3"/>
      <c r="L405" s="4"/>
      <c r="M405" s="4"/>
      <c r="N405" s="4"/>
      <c r="O405" s="5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</row>
    <row r="406" spans="1:116" ht="12.75" hidden="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3"/>
      <c r="L406" s="4"/>
      <c r="M406" s="4"/>
      <c r="N406" s="4"/>
      <c r="O406" s="5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</row>
    <row r="407" spans="1:116" ht="12.75" hidden="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3"/>
      <c r="L407" s="4"/>
      <c r="M407" s="4"/>
      <c r="N407" s="4"/>
      <c r="O407" s="5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</row>
    <row r="408" spans="1:116" ht="12.75" hidden="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3"/>
      <c r="L408" s="4"/>
      <c r="M408" s="4"/>
      <c r="N408" s="4"/>
      <c r="O408" s="5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</row>
    <row r="409" spans="1:116" ht="12.75" hidden="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3"/>
      <c r="L409" s="4"/>
      <c r="M409" s="4"/>
      <c r="N409" s="4"/>
      <c r="O409" s="5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</row>
    <row r="410" spans="1:116" ht="12.75" hidden="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3"/>
      <c r="L410" s="4"/>
      <c r="M410" s="4"/>
      <c r="N410" s="4"/>
      <c r="O410" s="5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</row>
    <row r="411" spans="1:116" ht="12.75" hidden="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3"/>
      <c r="L411" s="4"/>
      <c r="M411" s="4"/>
      <c r="N411" s="4"/>
      <c r="O411" s="5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</row>
    <row r="412" spans="1:116" ht="12.75" hidden="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3"/>
      <c r="L412" s="4"/>
      <c r="M412" s="4"/>
      <c r="N412" s="4"/>
      <c r="O412" s="5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</row>
    <row r="413" spans="1:116" ht="12.75" hidden="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3"/>
      <c r="L413" s="4"/>
      <c r="M413" s="4"/>
      <c r="N413" s="4"/>
      <c r="O413" s="5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</row>
    <row r="414" spans="1:116" ht="12.75" hidden="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3"/>
      <c r="L414" s="4"/>
      <c r="M414" s="4"/>
      <c r="N414" s="4"/>
      <c r="O414" s="5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</row>
    <row r="415" spans="1:116" ht="12.75" hidden="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3"/>
      <c r="L415" s="4"/>
      <c r="M415" s="4"/>
      <c r="N415" s="4"/>
      <c r="O415" s="5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</row>
    <row r="416" spans="1:116" ht="12.75" hidden="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3"/>
      <c r="L416" s="4"/>
      <c r="M416" s="4"/>
      <c r="N416" s="4"/>
      <c r="O416" s="5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</row>
    <row r="417" spans="1:116" ht="12.75" hidden="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3"/>
      <c r="L417" s="4"/>
      <c r="M417" s="4"/>
      <c r="N417" s="4"/>
      <c r="O417" s="5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</row>
    <row r="418" spans="1:116" ht="12.75" hidden="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3"/>
      <c r="L418" s="4"/>
      <c r="M418" s="4"/>
      <c r="N418" s="4"/>
      <c r="O418" s="5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</row>
    <row r="419" spans="1:116" ht="12.75" hidden="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3"/>
      <c r="L419" s="4"/>
      <c r="M419" s="4"/>
      <c r="N419" s="4"/>
      <c r="O419" s="5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</row>
    <row r="420" spans="1:116" ht="12.75" hidden="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3"/>
      <c r="L420" s="4"/>
      <c r="M420" s="4"/>
      <c r="N420" s="4"/>
      <c r="O420" s="5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</row>
    <row r="421" spans="1:116" ht="12.75" hidden="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3"/>
      <c r="L421" s="4"/>
      <c r="M421" s="4"/>
      <c r="N421" s="4"/>
      <c r="O421" s="5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</row>
    <row r="422" spans="1:116" ht="12.75" hidden="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3"/>
      <c r="L422" s="4"/>
      <c r="M422" s="4"/>
      <c r="N422" s="4"/>
      <c r="O422" s="5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</row>
    <row r="423" spans="1:116" ht="12.75" hidden="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3"/>
      <c r="L423" s="4"/>
      <c r="M423" s="4"/>
      <c r="N423" s="4"/>
      <c r="O423" s="5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</row>
    <row r="424" spans="1:116" ht="12.75" hidden="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3"/>
      <c r="L424" s="4"/>
      <c r="M424" s="4"/>
      <c r="N424" s="4"/>
      <c r="O424" s="5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</row>
    <row r="425" spans="1:116" ht="12.75" hidden="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3"/>
      <c r="L425" s="4"/>
      <c r="M425" s="4"/>
      <c r="N425" s="4"/>
      <c r="O425" s="5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</row>
    <row r="426" spans="1:116" ht="12.75" hidden="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3"/>
      <c r="L426" s="4"/>
      <c r="M426" s="4"/>
      <c r="N426" s="4"/>
      <c r="O426" s="5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</row>
    <row r="427" spans="1:116" ht="12.75" hidden="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3"/>
      <c r="L427" s="4"/>
      <c r="M427" s="4"/>
      <c r="N427" s="4"/>
      <c r="O427" s="5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</row>
    <row r="428" spans="1:116" ht="12.75" hidden="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3"/>
      <c r="L428" s="4"/>
      <c r="M428" s="4"/>
      <c r="N428" s="4"/>
      <c r="O428" s="5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</row>
    <row r="429" spans="1:116" ht="12.75" hidden="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3"/>
      <c r="L429" s="4"/>
      <c r="M429" s="4"/>
      <c r="N429" s="4"/>
      <c r="O429" s="5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</row>
    <row r="430" spans="1:116" ht="12.75" hidden="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3"/>
      <c r="L430" s="4"/>
      <c r="M430" s="4"/>
      <c r="N430" s="4"/>
      <c r="O430" s="5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</row>
    <row r="431" spans="1:116" ht="12.75" hidden="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3"/>
      <c r="L431" s="4"/>
      <c r="M431" s="4"/>
      <c r="N431" s="4"/>
      <c r="O431" s="5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</row>
    <row r="432" spans="1:116" ht="12.75" hidden="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3"/>
      <c r="L432" s="4"/>
      <c r="M432" s="4"/>
      <c r="N432" s="4"/>
      <c r="O432" s="5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</row>
    <row r="433" spans="1:116" ht="12.75" hidden="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3"/>
      <c r="L433" s="4"/>
      <c r="M433" s="4"/>
      <c r="N433" s="4"/>
      <c r="O433" s="5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</row>
    <row r="434" spans="1:116" ht="12.75" hidden="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3"/>
      <c r="L434" s="4"/>
      <c r="M434" s="4"/>
      <c r="N434" s="4"/>
      <c r="O434" s="5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</row>
    <row r="435" spans="1:116" ht="12.75" hidden="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3"/>
      <c r="L435" s="4"/>
      <c r="M435" s="4"/>
      <c r="N435" s="4"/>
      <c r="O435" s="5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</row>
    <row r="436" spans="1:116" ht="12.75" hidden="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3"/>
      <c r="L436" s="4"/>
      <c r="M436" s="4"/>
      <c r="N436" s="4"/>
      <c r="O436" s="5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</row>
    <row r="437" spans="1:116" ht="12.75" hidden="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3"/>
      <c r="L437" s="4"/>
      <c r="M437" s="4"/>
      <c r="N437" s="4"/>
      <c r="O437" s="5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</row>
    <row r="438" spans="1:116" ht="12.75" hidden="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3"/>
      <c r="L438" s="4"/>
      <c r="M438" s="4"/>
      <c r="N438" s="4"/>
      <c r="O438" s="5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</row>
    <row r="439" spans="1:116" ht="12.75" hidden="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3"/>
      <c r="L439" s="4"/>
      <c r="M439" s="4"/>
      <c r="N439" s="4"/>
      <c r="O439" s="5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</row>
    <row r="440" spans="1:116" ht="12.75" hidden="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3"/>
      <c r="L440" s="4"/>
      <c r="M440" s="4"/>
      <c r="N440" s="4"/>
      <c r="O440" s="5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</row>
    <row r="441" spans="1:116" ht="12.75" hidden="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3"/>
      <c r="L441" s="4"/>
      <c r="M441" s="4"/>
      <c r="N441" s="4"/>
      <c r="O441" s="5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</row>
    <row r="442" spans="1:116" ht="12.75" hidden="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3"/>
      <c r="L442" s="4"/>
      <c r="M442" s="4"/>
      <c r="N442" s="4"/>
      <c r="O442" s="5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</row>
    <row r="443" spans="1:116" ht="12.75" hidden="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3"/>
      <c r="L443" s="4"/>
      <c r="M443" s="4"/>
      <c r="N443" s="4"/>
      <c r="O443" s="5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</row>
    <row r="444" spans="1:116" ht="12.75" hidden="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3"/>
      <c r="L444" s="4"/>
      <c r="M444" s="4"/>
      <c r="N444" s="4"/>
      <c r="O444" s="5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</row>
    <row r="445" spans="1:116" ht="12.75" hidden="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3"/>
      <c r="L445" s="4"/>
      <c r="M445" s="4"/>
      <c r="N445" s="4"/>
      <c r="O445" s="5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</row>
    <row r="446" spans="1:116" ht="12.75" hidden="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3"/>
      <c r="L446" s="4"/>
      <c r="M446" s="4"/>
      <c r="N446" s="4"/>
      <c r="O446" s="5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</row>
    <row r="447" spans="1:116" ht="12.75" hidden="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3"/>
      <c r="L447" s="4"/>
      <c r="M447" s="4"/>
      <c r="N447" s="4"/>
      <c r="O447" s="5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</row>
    <row r="448" spans="1:116" ht="12.75" hidden="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3"/>
      <c r="L448" s="4"/>
      <c r="M448" s="4"/>
      <c r="N448" s="4"/>
      <c r="O448" s="5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</row>
    <row r="449" spans="1:116" ht="12.75" hidden="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3"/>
      <c r="L449" s="4"/>
      <c r="M449" s="4"/>
      <c r="N449" s="4"/>
      <c r="O449" s="5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</row>
    <row r="450" spans="1:116" ht="12.75" hidden="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3"/>
      <c r="L450" s="4"/>
      <c r="M450" s="4"/>
      <c r="N450" s="4"/>
      <c r="O450" s="5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</row>
    <row r="451" spans="1:116" ht="12.75" hidden="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3"/>
      <c r="L451" s="4"/>
      <c r="M451" s="4"/>
      <c r="N451" s="4"/>
      <c r="O451" s="5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</row>
    <row r="452" spans="1:116" ht="12.75" hidden="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3"/>
      <c r="L452" s="4"/>
      <c r="M452" s="4"/>
      <c r="N452" s="4"/>
      <c r="O452" s="5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</row>
    <row r="453" spans="1:116" ht="12.75" hidden="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3"/>
      <c r="L453" s="4"/>
      <c r="M453" s="4"/>
      <c r="N453" s="4"/>
      <c r="O453" s="5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</row>
    <row r="454" spans="1:116" ht="12.75" hidden="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3"/>
      <c r="L454" s="4"/>
      <c r="M454" s="4"/>
      <c r="N454" s="4"/>
      <c r="O454" s="5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</row>
    <row r="455" spans="1:116" ht="12.75" hidden="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3"/>
      <c r="L455" s="4"/>
      <c r="M455" s="4"/>
      <c r="N455" s="4"/>
      <c r="O455" s="5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</row>
    <row r="456" spans="1:116" ht="12.75" hidden="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3"/>
      <c r="L456" s="4"/>
      <c r="M456" s="4"/>
      <c r="N456" s="4"/>
      <c r="O456" s="5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</row>
    <row r="457" spans="1:116" ht="12.75" hidden="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3"/>
      <c r="L457" s="4"/>
      <c r="M457" s="4"/>
      <c r="N457" s="4"/>
      <c r="O457" s="5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</row>
    <row r="458" spans="1:116" ht="12.75" hidden="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3"/>
      <c r="L458" s="4"/>
      <c r="M458" s="4"/>
      <c r="N458" s="4"/>
      <c r="O458" s="5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</row>
    <row r="459" spans="1:116" ht="12.75" hidden="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3"/>
      <c r="L459" s="4"/>
      <c r="M459" s="4"/>
      <c r="N459" s="4"/>
      <c r="O459" s="5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</row>
    <row r="460" spans="1:116" ht="12.75" hidden="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3"/>
      <c r="L460" s="4"/>
      <c r="M460" s="4"/>
      <c r="N460" s="4"/>
      <c r="O460" s="5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</row>
    <row r="461" spans="1:116" ht="12.75" hidden="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3"/>
      <c r="L461" s="4"/>
      <c r="M461" s="4"/>
      <c r="N461" s="4"/>
      <c r="O461" s="5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</row>
    <row r="462" spans="1:116" ht="12.75" hidden="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3"/>
      <c r="L462" s="4"/>
      <c r="M462" s="4"/>
      <c r="N462" s="4"/>
      <c r="O462" s="5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</row>
    <row r="463" spans="1:116" ht="12.75" hidden="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3"/>
      <c r="L463" s="4"/>
      <c r="M463" s="4"/>
      <c r="N463" s="4"/>
      <c r="O463" s="5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</row>
    <row r="464" spans="1:116" ht="12.75" hidden="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3"/>
      <c r="L464" s="4"/>
      <c r="M464" s="4"/>
      <c r="N464" s="4"/>
      <c r="O464" s="5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</row>
    <row r="465" spans="1:116" ht="12.75" hidden="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3"/>
      <c r="L465" s="4"/>
      <c r="M465" s="4"/>
      <c r="N465" s="4"/>
      <c r="O465" s="5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</row>
    <row r="466" spans="1:116" ht="12.75" hidden="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3"/>
      <c r="L466" s="4"/>
      <c r="M466" s="4"/>
      <c r="N466" s="4"/>
      <c r="O466" s="5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</row>
    <row r="467" spans="1:116" ht="12.75" hidden="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3"/>
      <c r="L467" s="4"/>
      <c r="M467" s="4"/>
      <c r="N467" s="4"/>
      <c r="O467" s="5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</row>
    <row r="468" spans="1:116" ht="12.75" hidden="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3"/>
      <c r="L468" s="4"/>
      <c r="M468" s="4"/>
      <c r="N468" s="4"/>
      <c r="O468" s="5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</row>
    <row r="469" spans="1:116" ht="12.75" hidden="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3"/>
      <c r="L469" s="4"/>
      <c r="M469" s="4"/>
      <c r="N469" s="4"/>
      <c r="O469" s="5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</row>
    <row r="470" spans="1:116" ht="12.75" hidden="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3"/>
      <c r="L470" s="4"/>
      <c r="M470" s="4"/>
      <c r="N470" s="4"/>
      <c r="O470" s="5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</row>
    <row r="471" spans="1:116" ht="12.75" hidden="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3"/>
      <c r="L471" s="4"/>
      <c r="M471" s="4"/>
      <c r="N471" s="4"/>
      <c r="O471" s="5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</row>
    <row r="472" spans="1:116" ht="12.75" hidden="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3"/>
      <c r="L472" s="4"/>
      <c r="M472" s="4"/>
      <c r="N472" s="4"/>
      <c r="O472" s="5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</row>
    <row r="473" spans="1:116" ht="12.75" hidden="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3"/>
      <c r="L473" s="4"/>
      <c r="M473" s="4"/>
      <c r="N473" s="4"/>
      <c r="O473" s="5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</row>
    <row r="474" spans="1:116" ht="12.75" hidden="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3"/>
      <c r="L474" s="4"/>
      <c r="M474" s="4"/>
      <c r="N474" s="4"/>
      <c r="O474" s="5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</row>
    <row r="475" spans="1:116" ht="12.75" hidden="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3"/>
      <c r="L475" s="4"/>
      <c r="M475" s="4"/>
      <c r="N475" s="4"/>
      <c r="O475" s="5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</row>
    <row r="476" spans="1:116" ht="12.75" hidden="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3"/>
      <c r="L476" s="4"/>
      <c r="M476" s="4"/>
      <c r="N476" s="4"/>
      <c r="O476" s="5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</row>
    <row r="477" spans="1:116" ht="12.75" hidden="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3"/>
      <c r="L477" s="4"/>
      <c r="M477" s="4"/>
      <c r="N477" s="4"/>
      <c r="O477" s="5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</row>
    <row r="478" spans="1:116" ht="12.75" hidden="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3"/>
      <c r="L478" s="4"/>
      <c r="M478" s="4"/>
      <c r="N478" s="4"/>
      <c r="O478" s="5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</row>
    <row r="479" spans="1:116" ht="12.75" hidden="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3"/>
      <c r="L479" s="4"/>
      <c r="M479" s="4"/>
      <c r="N479" s="4"/>
      <c r="O479" s="5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</row>
    <row r="480" spans="1:116" ht="12.75" hidden="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3"/>
      <c r="L480" s="4"/>
      <c r="M480" s="4"/>
      <c r="N480" s="4"/>
      <c r="O480" s="5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</row>
    <row r="481" spans="1:116" ht="12.75" hidden="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3"/>
      <c r="L481" s="4"/>
      <c r="M481" s="4"/>
      <c r="N481" s="4"/>
      <c r="O481" s="5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</row>
    <row r="482" spans="1:116" ht="12.75" hidden="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3"/>
      <c r="L482" s="4"/>
      <c r="M482" s="4"/>
      <c r="N482" s="4"/>
      <c r="O482" s="5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</row>
    <row r="483" spans="1:116" ht="12.75" hidden="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3"/>
      <c r="L483" s="4"/>
      <c r="M483" s="4"/>
      <c r="N483" s="4"/>
      <c r="O483" s="5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</row>
    <row r="484" spans="1:116" ht="12.75" hidden="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3"/>
      <c r="L484" s="4"/>
      <c r="M484" s="4"/>
      <c r="N484" s="4"/>
      <c r="O484" s="5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</row>
    <row r="485" spans="1:116" ht="12.75" hidden="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3"/>
      <c r="L485" s="4"/>
      <c r="M485" s="4"/>
      <c r="N485" s="4"/>
      <c r="O485" s="5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</row>
    <row r="486" spans="1:116" ht="12.75" hidden="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3"/>
      <c r="L486" s="4"/>
      <c r="M486" s="4"/>
      <c r="N486" s="4"/>
      <c r="O486" s="5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</row>
    <row r="487" spans="1:116" ht="12.75" hidden="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3"/>
      <c r="L487" s="4"/>
      <c r="M487" s="4"/>
      <c r="N487" s="4"/>
      <c r="O487" s="5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</row>
    <row r="488" spans="1:116" ht="12.75" hidden="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3"/>
      <c r="L488" s="4"/>
      <c r="M488" s="4"/>
      <c r="N488" s="4"/>
      <c r="O488" s="5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</row>
    <row r="489" spans="1:116" ht="12.75" hidden="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3"/>
      <c r="L489" s="4"/>
      <c r="M489" s="4"/>
      <c r="N489" s="4"/>
      <c r="O489" s="5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</row>
    <row r="490" spans="1:116" ht="12.75" hidden="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3"/>
      <c r="L490" s="4"/>
      <c r="M490" s="4"/>
      <c r="N490" s="4"/>
      <c r="O490" s="5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</row>
    <row r="491" spans="1:116" ht="12.75" hidden="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3"/>
      <c r="L491" s="4"/>
      <c r="M491" s="4"/>
      <c r="N491" s="4"/>
      <c r="O491" s="5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</row>
    <row r="492" spans="1:116" ht="12.75" hidden="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3"/>
      <c r="L492" s="4"/>
      <c r="M492" s="4"/>
      <c r="N492" s="4"/>
      <c r="O492" s="5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</row>
    <row r="493" spans="1:116" ht="12.75" hidden="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3"/>
      <c r="L493" s="4"/>
      <c r="M493" s="4"/>
      <c r="N493" s="4"/>
      <c r="O493" s="5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</row>
    <row r="494" spans="1:116" ht="12.75" hidden="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3"/>
      <c r="L494" s="4"/>
      <c r="M494" s="4"/>
      <c r="N494" s="4"/>
      <c r="O494" s="5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</row>
    <row r="495" spans="1:116" ht="12.75" hidden="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3"/>
      <c r="L495" s="4"/>
      <c r="M495" s="4"/>
      <c r="N495" s="4"/>
      <c r="O495" s="5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</row>
    <row r="496" spans="1:116" ht="12.75" hidden="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3"/>
      <c r="L496" s="4"/>
      <c r="M496" s="4"/>
      <c r="N496" s="4"/>
      <c r="O496" s="5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</row>
    <row r="497" spans="1:116" ht="12.75" hidden="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3"/>
      <c r="L497" s="4"/>
      <c r="M497" s="4"/>
      <c r="N497" s="4"/>
      <c r="O497" s="5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</row>
    <row r="498" spans="1:116" ht="12.75" hidden="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3"/>
      <c r="L498" s="4"/>
      <c r="M498" s="4"/>
      <c r="N498" s="4"/>
      <c r="O498" s="5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</row>
    <row r="499" spans="1:116" ht="12.75" hidden="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3"/>
      <c r="L499" s="4"/>
      <c r="M499" s="4"/>
      <c r="N499" s="4"/>
      <c r="O499" s="5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</row>
    <row r="500" spans="1:116" ht="12.75" hidden="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3"/>
      <c r="L500" s="4"/>
      <c r="M500" s="4"/>
      <c r="N500" s="4"/>
      <c r="O500" s="5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</row>
    <row r="501" spans="1:116" ht="12.75" hidden="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3"/>
      <c r="L501" s="4"/>
      <c r="M501" s="4"/>
      <c r="N501" s="4"/>
      <c r="O501" s="5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</row>
    <row r="502" spans="1:116" ht="12.75" hidden="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3"/>
      <c r="L502" s="4"/>
      <c r="M502" s="4"/>
      <c r="N502" s="4"/>
      <c r="O502" s="5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</row>
    <row r="503" spans="1:116" ht="12.75" hidden="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3"/>
      <c r="L503" s="4"/>
      <c r="M503" s="4"/>
      <c r="N503" s="4"/>
      <c r="O503" s="5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</row>
    <row r="504" spans="1:116" ht="12.75" hidden="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3"/>
      <c r="L504" s="4"/>
      <c r="M504" s="4"/>
      <c r="N504" s="4"/>
      <c r="O504" s="5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</row>
    <row r="505" spans="1:116" ht="12.75" hidden="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3"/>
      <c r="L505" s="4"/>
      <c r="M505" s="4"/>
      <c r="N505" s="4"/>
      <c r="O505" s="5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</row>
    <row r="506" spans="1:116" ht="12.75" hidden="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3"/>
      <c r="L506" s="4"/>
      <c r="M506" s="4"/>
      <c r="N506" s="4"/>
      <c r="O506" s="5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</row>
    <row r="507" spans="1:116" ht="12.75" hidden="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3"/>
      <c r="L507" s="4"/>
      <c r="M507" s="4"/>
      <c r="N507" s="4"/>
      <c r="O507" s="5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</row>
    <row r="508" spans="1:116" ht="12.75" hidden="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3"/>
      <c r="L508" s="4"/>
      <c r="M508" s="4"/>
      <c r="N508" s="4"/>
      <c r="O508" s="5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</row>
    <row r="509" spans="1:116" ht="12.75" hidden="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3"/>
      <c r="L509" s="4"/>
      <c r="M509" s="4"/>
      <c r="N509" s="4"/>
      <c r="O509" s="5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</row>
    <row r="510" spans="1:116" ht="12.75" hidden="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3"/>
      <c r="L510" s="4"/>
      <c r="M510" s="4"/>
      <c r="N510" s="4"/>
      <c r="O510" s="5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</row>
    <row r="511" spans="1:116" ht="12.75" hidden="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3"/>
      <c r="L511" s="4"/>
      <c r="M511" s="4"/>
      <c r="N511" s="4"/>
      <c r="O511" s="5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</row>
    <row r="512" spans="1:116" ht="12.75" hidden="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3"/>
      <c r="L512" s="4"/>
      <c r="M512" s="4"/>
      <c r="N512" s="4"/>
      <c r="O512" s="5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</row>
    <row r="513" spans="1:116" ht="12.75" hidden="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3"/>
      <c r="L513" s="4"/>
      <c r="M513" s="4"/>
      <c r="N513" s="4"/>
      <c r="O513" s="5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</row>
    <row r="514" spans="1:116" ht="12.75" hidden="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3"/>
      <c r="L514" s="4"/>
      <c r="M514" s="4"/>
      <c r="N514" s="4"/>
      <c r="O514" s="5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</row>
    <row r="515" spans="1:116" ht="12.75" hidden="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3"/>
      <c r="L515" s="4"/>
      <c r="M515" s="4"/>
      <c r="N515" s="4"/>
      <c r="O515" s="5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</row>
    <row r="516" spans="1:116" ht="12.75" hidden="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3"/>
      <c r="L516" s="4"/>
      <c r="M516" s="4"/>
      <c r="N516" s="4"/>
      <c r="O516" s="5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</row>
    <row r="517" spans="1:116" ht="12.75" hidden="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3"/>
      <c r="L517" s="4"/>
      <c r="M517" s="4"/>
      <c r="N517" s="4"/>
      <c r="O517" s="5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</row>
    <row r="518" spans="1:116" ht="12.75" hidden="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3"/>
      <c r="L518" s="4"/>
      <c r="M518" s="4"/>
      <c r="N518" s="4"/>
      <c r="O518" s="5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</row>
    <row r="519" spans="1:116" ht="12.75" hidden="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3"/>
      <c r="L519" s="4"/>
      <c r="M519" s="4"/>
      <c r="N519" s="4"/>
      <c r="O519" s="5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</row>
    <row r="520" spans="1:116" ht="12.75" hidden="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3"/>
      <c r="L520" s="4"/>
      <c r="M520" s="4"/>
      <c r="N520" s="4"/>
      <c r="O520" s="5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</row>
    <row r="521" spans="1:116" ht="12.75" hidden="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3"/>
      <c r="L521" s="4"/>
      <c r="M521" s="4"/>
      <c r="N521" s="4"/>
      <c r="O521" s="5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</row>
    <row r="522" spans="1:116" ht="12.75" hidden="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3"/>
      <c r="L522" s="4"/>
      <c r="M522" s="4"/>
      <c r="N522" s="4"/>
      <c r="O522" s="5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</row>
    <row r="523" spans="1:116" ht="12.75" hidden="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3"/>
      <c r="L523" s="4"/>
      <c r="M523" s="4"/>
      <c r="N523" s="4"/>
      <c r="O523" s="5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</row>
    <row r="524" spans="1:116" ht="12.75" hidden="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3"/>
      <c r="L524" s="4"/>
      <c r="M524" s="4"/>
      <c r="N524" s="4"/>
      <c r="O524" s="5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</row>
    <row r="525" spans="1:116" ht="12.75" hidden="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3"/>
      <c r="L525" s="4"/>
      <c r="M525" s="4"/>
      <c r="N525" s="4"/>
      <c r="O525" s="5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</row>
    <row r="526" spans="1:116" ht="12.75" hidden="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3"/>
      <c r="L526" s="4"/>
      <c r="M526" s="4"/>
      <c r="N526" s="4"/>
      <c r="O526" s="5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</row>
    <row r="527" spans="1:116" ht="12.75" hidden="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3"/>
      <c r="L527" s="4"/>
      <c r="M527" s="4"/>
      <c r="N527" s="4"/>
      <c r="O527" s="5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</row>
    <row r="528" spans="1:116" ht="12.75" hidden="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3"/>
      <c r="L528" s="4"/>
      <c r="M528" s="4"/>
      <c r="N528" s="4"/>
      <c r="O528" s="5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</row>
    <row r="529" spans="1:116" ht="12.75" hidden="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3"/>
      <c r="L529" s="4"/>
      <c r="M529" s="4"/>
      <c r="N529" s="4"/>
      <c r="O529" s="5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</row>
    <row r="530" spans="1:116" ht="12.75" hidden="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3"/>
      <c r="L530" s="4"/>
      <c r="M530" s="4"/>
      <c r="N530" s="4"/>
      <c r="O530" s="5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</row>
    <row r="531" spans="1:116" ht="12.75" hidden="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3"/>
      <c r="L531" s="4"/>
      <c r="M531" s="4"/>
      <c r="N531" s="4"/>
      <c r="O531" s="5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</row>
    <row r="532" spans="1:116" ht="12.75" hidden="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3"/>
      <c r="L532" s="4"/>
      <c r="M532" s="4"/>
      <c r="N532" s="4"/>
      <c r="O532" s="5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</row>
    <row r="533" spans="1:116" ht="12.75" hidden="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3"/>
      <c r="L533" s="4"/>
      <c r="M533" s="4"/>
      <c r="N533" s="4"/>
      <c r="O533" s="5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</row>
    <row r="534" spans="1:116" ht="12.75" hidden="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3"/>
      <c r="L534" s="4"/>
      <c r="M534" s="4"/>
      <c r="N534" s="4"/>
      <c r="O534" s="5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</row>
    <row r="535" spans="1:116" ht="12.75" hidden="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3"/>
      <c r="L535" s="4"/>
      <c r="M535" s="4"/>
      <c r="N535" s="4"/>
      <c r="O535" s="5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</row>
    <row r="536" spans="1:116" ht="12.75" hidden="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3"/>
      <c r="L536" s="4"/>
      <c r="M536" s="4"/>
      <c r="N536" s="4"/>
      <c r="O536" s="5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</row>
    <row r="537" spans="1:116" ht="12.75" hidden="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3"/>
      <c r="L537" s="4"/>
      <c r="M537" s="4"/>
      <c r="N537" s="4"/>
      <c r="O537" s="5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</row>
    <row r="538" spans="1:116" ht="12.75" hidden="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3"/>
      <c r="L538" s="4"/>
      <c r="M538" s="4"/>
      <c r="N538" s="4"/>
      <c r="O538" s="5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</row>
    <row r="539" spans="1:116" ht="12.75" hidden="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3"/>
      <c r="L539" s="4"/>
      <c r="M539" s="4"/>
      <c r="N539" s="4"/>
      <c r="O539" s="5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</row>
    <row r="540" spans="1:116" ht="12.75" hidden="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3"/>
      <c r="L540" s="4"/>
      <c r="M540" s="4"/>
      <c r="N540" s="4"/>
      <c r="O540" s="5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</row>
    <row r="541" spans="1:116" ht="12.75" hidden="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3"/>
      <c r="L541" s="4"/>
      <c r="M541" s="4"/>
      <c r="N541" s="4"/>
      <c r="O541" s="5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</row>
    <row r="542" spans="1:116" ht="12.75" hidden="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3"/>
      <c r="L542" s="4"/>
      <c r="M542" s="4"/>
      <c r="N542" s="4"/>
      <c r="O542" s="5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</row>
    <row r="543" spans="1:116" ht="12.75" hidden="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3"/>
      <c r="L543" s="4"/>
      <c r="M543" s="4"/>
      <c r="N543" s="4"/>
      <c r="O543" s="5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</row>
    <row r="544" spans="1:116" ht="12.75" hidden="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3"/>
      <c r="L544" s="4"/>
      <c r="M544" s="4"/>
      <c r="N544" s="4"/>
      <c r="O544" s="5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</row>
    <row r="545" spans="1:116" ht="12.75" hidden="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3"/>
      <c r="L545" s="4"/>
      <c r="M545" s="4"/>
      <c r="N545" s="4"/>
      <c r="O545" s="5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</row>
    <row r="546" spans="1:116" ht="12.75" hidden="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3"/>
      <c r="L546" s="4"/>
      <c r="M546" s="4"/>
      <c r="N546" s="4"/>
      <c r="O546" s="5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</row>
    <row r="547" spans="1:116" ht="12.75" hidden="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3"/>
      <c r="L547" s="4"/>
      <c r="M547" s="4"/>
      <c r="N547" s="4"/>
      <c r="O547" s="5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</row>
    <row r="548" spans="1:116" ht="12.75" hidden="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3"/>
      <c r="L548" s="4"/>
      <c r="M548" s="4"/>
      <c r="N548" s="4"/>
      <c r="O548" s="5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</row>
    <row r="549" spans="1:116" ht="12.75" hidden="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3"/>
      <c r="L549" s="4"/>
      <c r="M549" s="4"/>
      <c r="N549" s="4"/>
      <c r="O549" s="5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</row>
    <row r="550" spans="1:116" ht="12.75" hidden="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3"/>
      <c r="L550" s="4"/>
      <c r="M550" s="4"/>
      <c r="N550" s="4"/>
      <c r="O550" s="5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</row>
    <row r="551" spans="1:116" ht="12.75" hidden="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3"/>
      <c r="L551" s="4"/>
      <c r="M551" s="4"/>
      <c r="N551" s="4"/>
      <c r="O551" s="5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</row>
    <row r="552" spans="1:116" ht="12.75" hidden="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3"/>
      <c r="L552" s="4"/>
      <c r="M552" s="4"/>
      <c r="N552" s="4"/>
      <c r="O552" s="5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</row>
    <row r="553" spans="1:116" ht="12.75" hidden="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3"/>
      <c r="L553" s="4"/>
      <c r="M553" s="4"/>
      <c r="N553" s="4"/>
      <c r="O553" s="5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</row>
    <row r="554" spans="1:116" ht="12.75" hidden="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3"/>
      <c r="L554" s="4"/>
      <c r="M554" s="4"/>
      <c r="N554" s="4"/>
      <c r="O554" s="5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</row>
    <row r="555" spans="1:116" ht="12.75" hidden="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3"/>
      <c r="L555" s="4"/>
      <c r="M555" s="4"/>
      <c r="N555" s="4"/>
      <c r="O555" s="5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</row>
    <row r="556" spans="1:116" ht="12.75" hidden="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3"/>
      <c r="L556" s="4"/>
      <c r="M556" s="4"/>
      <c r="N556" s="4"/>
      <c r="O556" s="5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</row>
    <row r="557" spans="1:116" ht="12.75" hidden="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3"/>
      <c r="L557" s="4"/>
      <c r="M557" s="4"/>
      <c r="N557" s="4"/>
      <c r="O557" s="5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</row>
    <row r="558" spans="1:116" ht="12.75" hidden="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3"/>
      <c r="L558" s="4"/>
      <c r="M558" s="4"/>
      <c r="N558" s="4"/>
      <c r="O558" s="5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</row>
    <row r="559" spans="1:116" ht="12.75" hidden="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3"/>
      <c r="L559" s="4"/>
      <c r="M559" s="4"/>
      <c r="N559" s="4"/>
      <c r="O559" s="5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</row>
    <row r="560" spans="1:116" ht="12.75" hidden="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3"/>
      <c r="L560" s="4"/>
      <c r="M560" s="4"/>
      <c r="N560" s="4"/>
      <c r="O560" s="5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</row>
    <row r="561" spans="1:116" ht="12.75" hidden="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3"/>
      <c r="L561" s="4"/>
      <c r="M561" s="4"/>
      <c r="N561" s="4"/>
      <c r="O561" s="5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</row>
    <row r="562" spans="1:116" ht="12.75" hidden="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3"/>
      <c r="L562" s="4"/>
      <c r="M562" s="4"/>
      <c r="N562" s="4"/>
      <c r="O562" s="5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</row>
    <row r="563" spans="1:116" ht="12.75" hidden="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3"/>
      <c r="L563" s="4"/>
      <c r="M563" s="4"/>
      <c r="N563" s="4"/>
      <c r="O563" s="5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</row>
    <row r="564" spans="1:116" ht="12.75" hidden="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3"/>
      <c r="L564" s="4"/>
      <c r="M564" s="4"/>
      <c r="N564" s="4"/>
      <c r="O564" s="5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</row>
    <row r="565" spans="1:116" ht="12.75" hidden="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3"/>
      <c r="L565" s="4"/>
      <c r="M565" s="4"/>
      <c r="N565" s="4"/>
      <c r="O565" s="5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</row>
    <row r="566" spans="1:116" ht="12.75" hidden="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3"/>
      <c r="L566" s="4"/>
      <c r="M566" s="4"/>
      <c r="N566" s="4"/>
      <c r="O566" s="5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</row>
    <row r="567" spans="1:116" ht="12.75" hidden="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3"/>
      <c r="L567" s="4"/>
      <c r="M567" s="4"/>
      <c r="N567" s="4"/>
      <c r="O567" s="5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</row>
    <row r="568" spans="1:116" ht="12.75" hidden="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3"/>
      <c r="L568" s="4"/>
      <c r="M568" s="4"/>
      <c r="N568" s="4"/>
      <c r="O568" s="5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</row>
    <row r="569" spans="1:116" ht="12.75" hidden="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3"/>
      <c r="L569" s="4"/>
      <c r="M569" s="4"/>
      <c r="N569" s="4"/>
      <c r="O569" s="5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</row>
    <row r="570" spans="1:116" ht="12.75" hidden="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3"/>
      <c r="L570" s="4"/>
      <c r="M570" s="4"/>
      <c r="N570" s="4"/>
      <c r="O570" s="5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</row>
    <row r="571" spans="1:116" ht="12.75" hidden="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3"/>
      <c r="L571" s="4"/>
      <c r="M571" s="4"/>
      <c r="N571" s="4"/>
      <c r="O571" s="5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</row>
    <row r="572" spans="1:116" ht="12.75" hidden="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3"/>
      <c r="L572" s="4"/>
      <c r="M572" s="4"/>
      <c r="N572" s="4"/>
      <c r="O572" s="5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</row>
    <row r="573" spans="1:116" ht="12.75" hidden="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3"/>
      <c r="L573" s="4"/>
      <c r="M573" s="4"/>
      <c r="N573" s="4"/>
      <c r="O573" s="5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</row>
    <row r="574" spans="1:116" ht="12.75" hidden="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3"/>
      <c r="L574" s="4"/>
      <c r="M574" s="4"/>
      <c r="N574" s="4"/>
      <c r="O574" s="5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</row>
    <row r="575" spans="1:116" ht="12.75" hidden="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3"/>
      <c r="L575" s="4"/>
      <c r="M575" s="4"/>
      <c r="N575" s="4"/>
      <c r="O575" s="5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</row>
    <row r="576" spans="1:116" ht="12.75" hidden="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3"/>
      <c r="L576" s="4"/>
      <c r="M576" s="4"/>
      <c r="N576" s="4"/>
      <c r="O576" s="5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</row>
    <row r="577" spans="1:116" ht="12.75" hidden="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3"/>
      <c r="L577" s="4"/>
      <c r="M577" s="4"/>
      <c r="N577" s="4"/>
      <c r="O577" s="5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</row>
    <row r="578" spans="1:116" ht="12.75" hidden="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3"/>
      <c r="L578" s="4"/>
      <c r="M578" s="4"/>
      <c r="N578" s="4"/>
      <c r="O578" s="5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</row>
    <row r="579" spans="1:116" ht="12.75" hidden="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3"/>
      <c r="L579" s="4"/>
      <c r="M579" s="4"/>
      <c r="N579" s="4"/>
      <c r="O579" s="5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</row>
    <row r="580" spans="1:116" ht="12.75" hidden="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3"/>
      <c r="L580" s="4"/>
      <c r="M580" s="4"/>
      <c r="N580" s="4"/>
      <c r="O580" s="5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</row>
    <row r="581" spans="1:116" ht="12.75" hidden="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3"/>
      <c r="L581" s="4"/>
      <c r="M581" s="4"/>
      <c r="N581" s="4"/>
      <c r="O581" s="5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</row>
    <row r="582" spans="1:116" ht="12.75" hidden="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3"/>
      <c r="L582" s="4"/>
      <c r="M582" s="4"/>
      <c r="N582" s="4"/>
      <c r="O582" s="5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</row>
    <row r="583" spans="1:116" ht="12.75" hidden="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3"/>
      <c r="L583" s="4"/>
      <c r="M583" s="4"/>
      <c r="N583" s="4"/>
      <c r="O583" s="5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</row>
    <row r="584" spans="1:116" ht="12.75" hidden="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3"/>
      <c r="L584" s="4"/>
      <c r="M584" s="4"/>
      <c r="N584" s="4"/>
      <c r="O584" s="5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</row>
    <row r="585" spans="1:116" ht="12.75" hidden="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3"/>
      <c r="L585" s="4"/>
      <c r="M585" s="4"/>
      <c r="N585" s="4"/>
      <c r="O585" s="5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</row>
    <row r="586" spans="1:116" ht="12.75" hidden="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3"/>
      <c r="L586" s="4"/>
      <c r="M586" s="4"/>
      <c r="N586" s="4"/>
      <c r="O586" s="5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</row>
    <row r="587" spans="1:116" ht="12.75" hidden="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3"/>
      <c r="L587" s="4"/>
      <c r="M587" s="4"/>
      <c r="N587" s="4"/>
      <c r="O587" s="5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</row>
    <row r="588" spans="1:116" ht="12.75" hidden="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3"/>
      <c r="L588" s="4"/>
      <c r="M588" s="4"/>
      <c r="N588" s="4"/>
      <c r="O588" s="5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</row>
    <row r="589" spans="1:116" ht="12.75" hidden="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3"/>
      <c r="L589" s="4"/>
      <c r="M589" s="4"/>
      <c r="N589" s="4"/>
      <c r="O589" s="5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</row>
    <row r="590" spans="1:116" ht="12.75" hidden="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3"/>
      <c r="L590" s="4"/>
      <c r="M590" s="4"/>
      <c r="N590" s="4"/>
      <c r="O590" s="5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</row>
    <row r="591" spans="1:116" ht="12.75" hidden="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3"/>
      <c r="L591" s="4"/>
      <c r="M591" s="4"/>
      <c r="N591" s="4"/>
      <c r="O591" s="5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</row>
    <row r="592" spans="1:116" ht="12.75" hidden="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3"/>
      <c r="L592" s="4"/>
      <c r="M592" s="4"/>
      <c r="N592" s="4"/>
      <c r="O592" s="5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</row>
    <row r="593" spans="1:116" ht="12.75" hidden="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3"/>
      <c r="L593" s="4"/>
      <c r="M593" s="4"/>
      <c r="N593" s="4"/>
      <c r="O593" s="5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</row>
    <row r="594" spans="1:116" ht="12.75" hidden="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3"/>
      <c r="L594" s="4"/>
      <c r="M594" s="4"/>
      <c r="N594" s="4"/>
      <c r="O594" s="5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</row>
    <row r="595" spans="1:116" ht="12.75" hidden="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3"/>
      <c r="L595" s="4"/>
      <c r="M595" s="4"/>
      <c r="N595" s="4"/>
      <c r="O595" s="5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</row>
    <row r="596" spans="1:116" ht="12.75" hidden="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3"/>
      <c r="L596" s="4"/>
      <c r="M596" s="4"/>
      <c r="N596" s="4"/>
      <c r="O596" s="5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</row>
    <row r="597" spans="1:116" ht="12.75" hidden="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3"/>
      <c r="L597" s="4"/>
      <c r="M597" s="4"/>
      <c r="N597" s="4"/>
      <c r="O597" s="5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</row>
    <row r="598" spans="1:116" ht="12.75" hidden="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3"/>
      <c r="L598" s="4"/>
      <c r="M598" s="4"/>
      <c r="N598" s="4"/>
      <c r="O598" s="5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</row>
    <row r="599" spans="1:116" ht="12.75" hidden="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3"/>
      <c r="L599" s="4"/>
      <c r="M599" s="4"/>
      <c r="N599" s="4"/>
      <c r="O599" s="5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</row>
    <row r="600" spans="1:116" ht="12.75" hidden="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3"/>
      <c r="L600" s="4"/>
      <c r="M600" s="4"/>
      <c r="N600" s="4"/>
      <c r="O600" s="5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</row>
    <row r="601" spans="1:116" ht="12.75" hidden="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3"/>
      <c r="L601" s="4"/>
      <c r="M601" s="4"/>
      <c r="N601" s="4"/>
      <c r="O601" s="5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</row>
    <row r="602" spans="1:116" ht="12.75" hidden="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3"/>
      <c r="L602" s="4"/>
      <c r="M602" s="4"/>
      <c r="N602" s="4"/>
      <c r="O602" s="5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</row>
    <row r="603" spans="1:116" ht="12.75" hidden="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3"/>
      <c r="L603" s="4"/>
      <c r="M603" s="4"/>
      <c r="N603" s="4"/>
      <c r="O603" s="5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</row>
    <row r="604" spans="1:116" ht="12.75" hidden="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3"/>
      <c r="L604" s="4"/>
      <c r="M604" s="4"/>
      <c r="N604" s="4"/>
      <c r="O604" s="5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</row>
    <row r="605" spans="1:116" ht="12.75" hidden="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3"/>
      <c r="L605" s="4"/>
      <c r="M605" s="4"/>
      <c r="N605" s="4"/>
      <c r="O605" s="5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</row>
    <row r="606" spans="1:116" ht="12.75" hidden="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3"/>
      <c r="L606" s="4"/>
      <c r="M606" s="4"/>
      <c r="N606" s="4"/>
      <c r="O606" s="5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</row>
    <row r="607" spans="1:116" ht="12.75" hidden="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3"/>
      <c r="L607" s="4"/>
      <c r="M607" s="4"/>
      <c r="N607" s="4"/>
      <c r="O607" s="5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</row>
    <row r="608" spans="1:116" ht="12.75" hidden="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3"/>
      <c r="L608" s="4"/>
      <c r="M608" s="4"/>
      <c r="N608" s="4"/>
      <c r="O608" s="5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</row>
    <row r="609" spans="1:116" ht="12.75" hidden="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3"/>
      <c r="L609" s="4"/>
      <c r="M609" s="4"/>
      <c r="N609" s="4"/>
      <c r="O609" s="5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</row>
    <row r="610" spans="1:116" ht="12.75" hidden="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3"/>
      <c r="L610" s="4"/>
      <c r="M610" s="4"/>
      <c r="N610" s="4"/>
      <c r="O610" s="5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</row>
    <row r="611" spans="1:116" ht="12.75" hidden="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3"/>
      <c r="L611" s="4"/>
      <c r="M611" s="4"/>
      <c r="N611" s="4"/>
      <c r="O611" s="5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</row>
    <row r="612" spans="1:116" ht="12.75" hidden="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3"/>
      <c r="L612" s="4"/>
      <c r="M612" s="4"/>
      <c r="N612" s="4"/>
      <c r="O612" s="5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</row>
    <row r="613" spans="1:116" ht="12.75" hidden="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3"/>
      <c r="L613" s="4"/>
      <c r="M613" s="4"/>
      <c r="N613" s="4"/>
      <c r="O613" s="5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</row>
    <row r="614" spans="1:116" ht="12.75" hidden="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3"/>
      <c r="L614" s="4"/>
      <c r="M614" s="4"/>
      <c r="N614" s="4"/>
      <c r="O614" s="5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</row>
    <row r="615" spans="1:116" ht="12.75" hidden="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3"/>
      <c r="L615" s="4"/>
      <c r="M615" s="4"/>
      <c r="N615" s="4"/>
      <c r="O615" s="5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</row>
    <row r="616" spans="1:116" ht="12.75" hidden="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3"/>
      <c r="L616" s="4"/>
      <c r="M616" s="4"/>
      <c r="N616" s="4"/>
      <c r="O616" s="5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</row>
    <row r="617" spans="1:116" ht="12.75" hidden="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3"/>
      <c r="L617" s="4"/>
      <c r="M617" s="4"/>
      <c r="N617" s="4"/>
      <c r="O617" s="5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</row>
    <row r="618" spans="1:116" ht="12.75" hidden="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3"/>
      <c r="L618" s="4"/>
      <c r="M618" s="4"/>
      <c r="N618" s="4"/>
      <c r="O618" s="5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</row>
    <row r="619" spans="1:116" ht="12.75" hidden="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3"/>
      <c r="L619" s="4"/>
      <c r="M619" s="4"/>
      <c r="N619" s="4"/>
      <c r="O619" s="5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</row>
    <row r="620" spans="1:116" ht="12.75" hidden="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3"/>
      <c r="L620" s="4"/>
      <c r="M620" s="4"/>
      <c r="N620" s="4"/>
      <c r="O620" s="5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</row>
    <row r="621" spans="1:116" ht="12.75" hidden="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3"/>
      <c r="L621" s="4"/>
      <c r="M621" s="4"/>
      <c r="N621" s="4"/>
      <c r="O621" s="5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</row>
    <row r="622" spans="1:116" ht="12.75" hidden="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3"/>
      <c r="L622" s="4"/>
      <c r="M622" s="4"/>
      <c r="N622" s="4"/>
      <c r="O622" s="5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</row>
    <row r="623" spans="1:116" ht="12.75" hidden="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3"/>
      <c r="L623" s="4"/>
      <c r="M623" s="4"/>
      <c r="N623" s="4"/>
      <c r="O623" s="5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</row>
    <row r="624" spans="1:116" ht="12.75" hidden="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3"/>
      <c r="L624" s="4"/>
      <c r="M624" s="4"/>
      <c r="N624" s="4"/>
      <c r="O624" s="5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</row>
    <row r="625" spans="1:116" ht="12.75" hidden="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3"/>
      <c r="L625" s="4"/>
      <c r="M625" s="4"/>
      <c r="N625" s="4"/>
      <c r="O625" s="5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</row>
    <row r="626" spans="1:116" ht="12.75" hidden="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3"/>
      <c r="L626" s="4"/>
      <c r="M626" s="4"/>
      <c r="N626" s="4"/>
      <c r="O626" s="5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</row>
    <row r="627" spans="1:116" ht="12.75" hidden="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3"/>
      <c r="L627" s="4"/>
      <c r="M627" s="4"/>
      <c r="N627" s="4"/>
      <c r="O627" s="5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</row>
    <row r="628" spans="1:116" ht="12.75" hidden="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3"/>
      <c r="L628" s="4"/>
      <c r="M628" s="4"/>
      <c r="N628" s="4"/>
      <c r="O628" s="5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</row>
    <row r="629" spans="1:116" ht="12.75" hidden="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3"/>
      <c r="L629" s="4"/>
      <c r="M629" s="4"/>
      <c r="N629" s="4"/>
      <c r="O629" s="5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</row>
    <row r="630" spans="1:116" ht="12.75" hidden="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3"/>
      <c r="L630" s="4"/>
      <c r="M630" s="4"/>
      <c r="N630" s="4"/>
      <c r="O630" s="5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</row>
    <row r="631" spans="1:116" ht="12.75" hidden="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3"/>
      <c r="L631" s="4"/>
      <c r="M631" s="4"/>
      <c r="N631" s="4"/>
      <c r="O631" s="5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</row>
    <row r="632" spans="1:116" ht="12.75" hidden="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3"/>
      <c r="L632" s="4"/>
      <c r="M632" s="4"/>
      <c r="N632" s="4"/>
      <c r="O632" s="5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</row>
    <row r="633" spans="1:116" ht="12.75" hidden="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3"/>
      <c r="L633" s="4"/>
      <c r="M633" s="4"/>
      <c r="N633" s="4"/>
      <c r="O633" s="5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</row>
    <row r="634" spans="1:116" ht="12.75" hidden="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3"/>
      <c r="L634" s="4"/>
      <c r="M634" s="4"/>
      <c r="N634" s="4"/>
      <c r="O634" s="5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</row>
    <row r="635" spans="1:116" ht="12.75" hidden="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3"/>
      <c r="L635" s="4"/>
      <c r="M635" s="4"/>
      <c r="N635" s="4"/>
      <c r="O635" s="5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</row>
    <row r="636" spans="1:116" ht="12.75" hidden="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3"/>
      <c r="L636" s="4"/>
      <c r="M636" s="4"/>
      <c r="N636" s="4"/>
      <c r="O636" s="5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</row>
    <row r="637" spans="1:116" ht="12.75" hidden="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3"/>
      <c r="L637" s="4"/>
      <c r="M637" s="4"/>
      <c r="N637" s="4"/>
      <c r="O637" s="5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</row>
    <row r="638" spans="1:116" ht="12.75" hidden="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3"/>
      <c r="L638" s="4"/>
      <c r="M638" s="4"/>
      <c r="N638" s="4"/>
      <c r="O638" s="5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</row>
    <row r="639" spans="1:116" ht="12.75" hidden="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3"/>
      <c r="L639" s="4"/>
      <c r="M639" s="4"/>
      <c r="N639" s="4"/>
      <c r="O639" s="5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</row>
    <row r="640" spans="1:116" ht="12.75" hidden="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3"/>
      <c r="L640" s="4"/>
      <c r="M640" s="4"/>
      <c r="N640" s="4"/>
      <c r="O640" s="5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</row>
    <row r="641" spans="1:116" ht="12.75" hidden="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3"/>
      <c r="L641" s="4"/>
      <c r="M641" s="4"/>
      <c r="N641" s="4"/>
      <c r="O641" s="5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</row>
    <row r="642" spans="1:116" ht="12.75" hidden="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3"/>
      <c r="L642" s="4"/>
      <c r="M642" s="4"/>
      <c r="N642" s="4"/>
      <c r="O642" s="5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</row>
    <row r="643" spans="1:116" ht="12.75" hidden="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3"/>
      <c r="L643" s="4"/>
      <c r="M643" s="4"/>
      <c r="N643" s="4"/>
      <c r="O643" s="5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</row>
    <row r="644" spans="1:116" ht="12.75" hidden="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3"/>
      <c r="L644" s="4"/>
      <c r="M644" s="4"/>
      <c r="N644" s="4"/>
      <c r="O644" s="5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</row>
    <row r="645" spans="1:116" ht="12.75" hidden="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3"/>
      <c r="L645" s="4"/>
      <c r="M645" s="4"/>
      <c r="N645" s="4"/>
      <c r="O645" s="5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</row>
    <row r="646" spans="1:116" ht="12.75" hidden="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3"/>
      <c r="L646" s="4"/>
      <c r="M646" s="4"/>
      <c r="N646" s="4"/>
      <c r="O646" s="5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</row>
    <row r="647" spans="1:116" ht="12.75" hidden="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3"/>
      <c r="L647" s="4"/>
      <c r="M647" s="4"/>
      <c r="N647" s="4"/>
      <c r="O647" s="5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</row>
    <row r="648" spans="1:116" ht="12.75" hidden="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3"/>
      <c r="L648" s="4"/>
      <c r="M648" s="4"/>
      <c r="N648" s="4"/>
      <c r="O648" s="5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</row>
    <row r="649" spans="1:116" ht="12.75" hidden="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3"/>
      <c r="L649" s="4"/>
      <c r="M649" s="4"/>
      <c r="N649" s="4"/>
      <c r="O649" s="5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</row>
    <row r="650" spans="1:116" ht="12.75" hidden="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3"/>
      <c r="L650" s="4"/>
      <c r="M650" s="4"/>
      <c r="N650" s="4"/>
      <c r="O650" s="5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</row>
    <row r="651" spans="1:116" ht="12.75" hidden="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3"/>
      <c r="L651" s="4"/>
      <c r="M651" s="4"/>
      <c r="N651" s="4"/>
      <c r="O651" s="5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</row>
    <row r="652" spans="1:116" ht="12.75" hidden="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3"/>
      <c r="L652" s="4"/>
      <c r="M652" s="4"/>
      <c r="N652" s="4"/>
      <c r="O652" s="5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</row>
    <row r="653" spans="1:116" ht="12.75" hidden="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3"/>
      <c r="L653" s="4"/>
      <c r="M653" s="4"/>
      <c r="N653" s="4"/>
      <c r="O653" s="5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</row>
    <row r="654" spans="1:116" ht="12.75" hidden="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3"/>
      <c r="L654" s="4"/>
      <c r="M654" s="4"/>
      <c r="N654" s="4"/>
      <c r="O654" s="5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</row>
    <row r="655" spans="1:116" ht="12.75" hidden="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3"/>
      <c r="L655" s="4"/>
      <c r="M655" s="4"/>
      <c r="N655" s="4"/>
      <c r="O655" s="5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</row>
    <row r="656" spans="1:116" ht="12.75" hidden="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3"/>
      <c r="L656" s="4"/>
      <c r="M656" s="4"/>
      <c r="N656" s="4"/>
      <c r="O656" s="5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</row>
    <row r="657" spans="1:116" ht="12.75" hidden="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3"/>
      <c r="L657" s="4"/>
      <c r="M657" s="4"/>
      <c r="N657" s="4"/>
      <c r="O657" s="5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</row>
    <row r="658" spans="1:116" ht="12.75" hidden="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3"/>
      <c r="L658" s="4"/>
      <c r="M658" s="4"/>
      <c r="N658" s="4"/>
      <c r="O658" s="5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</row>
    <row r="659" spans="1:116" ht="12.75" hidden="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3"/>
      <c r="L659" s="4"/>
      <c r="M659" s="4"/>
      <c r="N659" s="4"/>
      <c r="O659" s="5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</row>
    <row r="660" spans="1:116" ht="12.75" hidden="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3"/>
      <c r="L660" s="4"/>
      <c r="M660" s="4"/>
      <c r="N660" s="4"/>
      <c r="O660" s="5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</row>
    <row r="661" spans="1:116" ht="12.75" hidden="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3"/>
      <c r="L661" s="4"/>
      <c r="M661" s="4"/>
      <c r="N661" s="4"/>
      <c r="O661" s="5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</row>
    <row r="662" spans="1:116" ht="12.75" hidden="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3"/>
      <c r="L662" s="4"/>
      <c r="M662" s="4"/>
      <c r="N662" s="4"/>
      <c r="O662" s="5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</row>
    <row r="663" spans="1:116" ht="12.75" hidden="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3"/>
      <c r="L663" s="4"/>
      <c r="M663" s="4"/>
      <c r="N663" s="4"/>
      <c r="O663" s="5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</row>
    <row r="664" spans="1:116" ht="12.75" hidden="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3"/>
      <c r="L664" s="4"/>
      <c r="M664" s="4"/>
      <c r="N664" s="4"/>
      <c r="O664" s="5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</row>
    <row r="665" spans="1:116" ht="12.75" hidden="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3"/>
      <c r="L665" s="4"/>
      <c r="M665" s="4"/>
      <c r="N665" s="4"/>
      <c r="O665" s="5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</row>
    <row r="666" spans="1:116" ht="12.75" hidden="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3"/>
      <c r="L666" s="4"/>
      <c r="M666" s="4"/>
      <c r="N666" s="4"/>
      <c r="O666" s="5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</row>
    <row r="667" spans="1:116" ht="12.75" hidden="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3"/>
      <c r="L667" s="4"/>
      <c r="M667" s="4"/>
      <c r="N667" s="4"/>
      <c r="O667" s="5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</row>
    <row r="668" spans="1:116" ht="12.75" hidden="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3"/>
      <c r="L668" s="4"/>
      <c r="M668" s="4"/>
      <c r="N668" s="4"/>
      <c r="O668" s="5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</row>
    <row r="669" spans="1:116" ht="12.75" hidden="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3"/>
      <c r="L669" s="4"/>
      <c r="M669" s="4"/>
      <c r="N669" s="4"/>
      <c r="O669" s="5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</row>
    <row r="670" spans="1:116" ht="12.75" hidden="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3"/>
      <c r="L670" s="4"/>
      <c r="M670" s="4"/>
      <c r="N670" s="4"/>
      <c r="O670" s="5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</row>
    <row r="671" spans="1:116" ht="12.75" hidden="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3"/>
      <c r="L671" s="4"/>
      <c r="M671" s="4"/>
      <c r="N671" s="4"/>
      <c r="O671" s="5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</row>
    <row r="672" spans="1:116" ht="12.75" hidden="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3"/>
      <c r="L672" s="4"/>
      <c r="M672" s="4"/>
      <c r="N672" s="4"/>
      <c r="O672" s="5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</row>
    <row r="673" spans="1:116" ht="12.75" hidden="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3"/>
      <c r="L673" s="4"/>
      <c r="M673" s="4"/>
      <c r="N673" s="4"/>
      <c r="O673" s="5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</row>
    <row r="674" spans="1:116" ht="12.75" hidden="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3"/>
      <c r="L674" s="4"/>
      <c r="M674" s="4"/>
      <c r="N674" s="4"/>
      <c r="O674" s="5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</row>
    <row r="675" spans="1:116" ht="12.75" hidden="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3"/>
      <c r="L675" s="4"/>
      <c r="M675" s="4"/>
      <c r="N675" s="4"/>
      <c r="O675" s="5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</row>
    <row r="676" spans="1:116" ht="12.75" hidden="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3"/>
      <c r="L676" s="4"/>
      <c r="M676" s="4"/>
      <c r="N676" s="4"/>
      <c r="O676" s="5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</row>
    <row r="677" spans="1:116" ht="12.75" hidden="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3"/>
      <c r="L677" s="4"/>
      <c r="M677" s="4"/>
      <c r="N677" s="4"/>
      <c r="O677" s="5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</row>
    <row r="678" spans="1:116" ht="12.75" hidden="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3"/>
      <c r="L678" s="4"/>
      <c r="M678" s="4"/>
      <c r="N678" s="4"/>
      <c r="O678" s="5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</row>
    <row r="679" spans="1:116" ht="12.75" hidden="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3"/>
      <c r="L679" s="4"/>
      <c r="M679" s="4"/>
      <c r="N679" s="4"/>
      <c r="O679" s="5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</row>
    <row r="680" spans="1:116" ht="12.75" hidden="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3"/>
      <c r="L680" s="4"/>
      <c r="M680" s="4"/>
      <c r="N680" s="4"/>
      <c r="O680" s="5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</row>
    <row r="681" spans="1:116" ht="12.75" hidden="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3"/>
      <c r="L681" s="4"/>
      <c r="M681" s="4"/>
      <c r="N681" s="4"/>
      <c r="O681" s="5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</row>
    <row r="682" spans="1:116" ht="12.75" hidden="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3"/>
      <c r="L682" s="4"/>
      <c r="M682" s="4"/>
      <c r="N682" s="4"/>
      <c r="O682" s="5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</row>
    <row r="683" spans="1:116" ht="12.75" hidden="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3"/>
      <c r="L683" s="4"/>
      <c r="M683" s="4"/>
      <c r="N683" s="4"/>
      <c r="O683" s="5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</row>
    <row r="684" spans="1:116" ht="12.75" hidden="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3"/>
      <c r="L684" s="4"/>
      <c r="M684" s="4"/>
      <c r="N684" s="4"/>
      <c r="O684" s="5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</row>
    <row r="685" spans="1:116" ht="12.75" hidden="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3"/>
      <c r="L685" s="4"/>
      <c r="M685" s="4"/>
      <c r="N685" s="4"/>
      <c r="O685" s="5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</row>
    <row r="686" spans="1:116" ht="12.75" hidden="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3"/>
      <c r="L686" s="4"/>
      <c r="M686" s="4"/>
      <c r="N686" s="4"/>
      <c r="O686" s="5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</row>
    <row r="687" spans="1:116" ht="12.75" hidden="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3"/>
      <c r="L687" s="4"/>
      <c r="M687" s="4"/>
      <c r="N687" s="4"/>
      <c r="O687" s="5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</row>
    <row r="688" spans="1:116" ht="12.75" hidden="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3"/>
      <c r="L688" s="4"/>
      <c r="M688" s="4"/>
      <c r="N688" s="4"/>
      <c r="O688" s="5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</row>
    <row r="689" spans="1:116" ht="12.75" hidden="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3"/>
      <c r="L689" s="4"/>
      <c r="M689" s="4"/>
      <c r="N689" s="4"/>
      <c r="O689" s="5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</row>
    <row r="690" spans="1:116" ht="12.75" hidden="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3"/>
      <c r="L690" s="4"/>
      <c r="M690" s="4"/>
      <c r="N690" s="4"/>
      <c r="O690" s="5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</row>
    <row r="691" spans="1:116" ht="12.75" hidden="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3"/>
      <c r="L691" s="4"/>
      <c r="M691" s="4"/>
      <c r="N691" s="4"/>
      <c r="O691" s="5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</row>
    <row r="692" spans="1:116" ht="12.75" hidden="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3"/>
      <c r="L692" s="4"/>
      <c r="M692" s="4"/>
      <c r="N692" s="4"/>
      <c r="O692" s="5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</row>
    <row r="693" spans="1:116" ht="12.75" hidden="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3"/>
      <c r="L693" s="4"/>
      <c r="M693" s="4"/>
      <c r="N693" s="4"/>
      <c r="O693" s="5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</row>
    <row r="694" spans="1:116" ht="12.75" hidden="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3"/>
      <c r="L694" s="4"/>
      <c r="M694" s="4"/>
      <c r="N694" s="4"/>
      <c r="O694" s="5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</row>
    <row r="695" spans="1:116" ht="12.75" hidden="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3"/>
      <c r="L695" s="4"/>
      <c r="M695" s="4"/>
      <c r="N695" s="4"/>
      <c r="O695" s="5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</row>
    <row r="696" spans="1:116" ht="12.75" hidden="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3"/>
      <c r="L696" s="4"/>
      <c r="M696" s="4"/>
      <c r="N696" s="4"/>
      <c r="O696" s="5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</row>
    <row r="697" spans="1:116" ht="12.75" hidden="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3"/>
      <c r="L697" s="4"/>
      <c r="M697" s="4"/>
      <c r="N697" s="4"/>
      <c r="O697" s="5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</row>
    <row r="698" spans="1:116" ht="12.75" hidden="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3"/>
      <c r="L698" s="4"/>
      <c r="M698" s="4"/>
      <c r="N698" s="4"/>
      <c r="O698" s="5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</row>
    <row r="699" spans="1:116" ht="12.75" hidden="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3"/>
      <c r="L699" s="4"/>
      <c r="M699" s="4"/>
      <c r="N699" s="4"/>
      <c r="O699" s="5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</row>
    <row r="700" spans="1:116" ht="12.75" hidden="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3"/>
      <c r="L700" s="4"/>
      <c r="M700" s="4"/>
      <c r="N700" s="4"/>
      <c r="O700" s="5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</row>
    <row r="701" spans="1:116" ht="12.75" hidden="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3"/>
      <c r="L701" s="4"/>
      <c r="M701" s="4"/>
      <c r="N701" s="4"/>
      <c r="O701" s="5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</row>
    <row r="702" spans="1:116" ht="12.75" hidden="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3"/>
      <c r="L702" s="4"/>
      <c r="M702" s="4"/>
      <c r="N702" s="4"/>
      <c r="O702" s="5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</row>
    <row r="703" spans="1:116" ht="12.75" hidden="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3"/>
      <c r="L703" s="4"/>
      <c r="M703" s="4"/>
      <c r="N703" s="4"/>
      <c r="O703" s="5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</row>
    <row r="704" spans="1:116" ht="12.75" hidden="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3"/>
      <c r="L704" s="4"/>
      <c r="M704" s="4"/>
      <c r="N704" s="4"/>
      <c r="O704" s="5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</row>
    <row r="705" spans="1:116" ht="12.75" hidden="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3"/>
      <c r="L705" s="4"/>
      <c r="M705" s="4"/>
      <c r="N705" s="4"/>
      <c r="O705" s="5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</row>
    <row r="706" spans="1:116" ht="12.75" hidden="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3"/>
      <c r="L706" s="4"/>
      <c r="M706" s="4"/>
      <c r="N706" s="4"/>
      <c r="O706" s="5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</row>
    <row r="707" spans="1:116" ht="12.75" hidden="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3"/>
      <c r="L707" s="4"/>
      <c r="M707" s="4"/>
      <c r="N707" s="4"/>
      <c r="O707" s="5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</row>
    <row r="708" spans="1:116" ht="12.75" hidden="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3"/>
      <c r="L708" s="4"/>
      <c r="M708" s="4"/>
      <c r="N708" s="4"/>
      <c r="O708" s="5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</row>
    <row r="709" spans="1:116" ht="12.75" hidden="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3"/>
      <c r="L709" s="4"/>
      <c r="M709" s="4"/>
      <c r="N709" s="4"/>
      <c r="O709" s="5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</row>
    <row r="710" spans="1:116" ht="12.75" hidden="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3"/>
      <c r="L710" s="4"/>
      <c r="M710" s="4"/>
      <c r="N710" s="4"/>
      <c r="O710" s="5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</row>
    <row r="711" spans="1:116" ht="12.75" hidden="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3"/>
      <c r="L711" s="4"/>
      <c r="M711" s="4"/>
      <c r="N711" s="4"/>
      <c r="O711" s="5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</row>
    <row r="712" spans="1:116" ht="12.75" hidden="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3"/>
      <c r="L712" s="4"/>
      <c r="M712" s="4"/>
      <c r="N712" s="4"/>
      <c r="O712" s="5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</row>
    <row r="713" spans="1:116" ht="12.75" hidden="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3"/>
      <c r="L713" s="4"/>
      <c r="M713" s="4"/>
      <c r="N713" s="4"/>
      <c r="O713" s="5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</row>
    <row r="714" spans="1:116" ht="12.75" hidden="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3"/>
      <c r="L714" s="4"/>
      <c r="M714" s="4"/>
      <c r="N714" s="4"/>
      <c r="O714" s="5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</row>
    <row r="715" spans="1:116" ht="12.75" hidden="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3"/>
      <c r="L715" s="4"/>
      <c r="M715" s="4"/>
      <c r="N715" s="4"/>
      <c r="O715" s="5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</row>
    <row r="716" spans="1:116" ht="12.75" hidden="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3"/>
      <c r="L716" s="4"/>
      <c r="M716" s="4"/>
      <c r="N716" s="4"/>
      <c r="O716" s="5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</row>
    <row r="717" spans="1:116" ht="12.75" hidden="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3"/>
      <c r="L717" s="4"/>
      <c r="M717" s="4"/>
      <c r="N717" s="4"/>
      <c r="O717" s="5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</row>
    <row r="718" spans="1:116" ht="12.75" hidden="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3"/>
      <c r="L718" s="4"/>
      <c r="M718" s="4"/>
      <c r="N718" s="4"/>
      <c r="O718" s="5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</row>
    <row r="719" spans="1:116" ht="12.75" hidden="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3"/>
      <c r="L719" s="4"/>
      <c r="M719" s="4"/>
      <c r="N719" s="4"/>
      <c r="O719" s="5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</row>
    <row r="720" spans="1:116" ht="12.75" hidden="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3"/>
      <c r="L720" s="4"/>
      <c r="M720" s="4"/>
      <c r="N720" s="4"/>
      <c r="O720" s="5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</row>
    <row r="721" spans="1:116" ht="12.75" hidden="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3"/>
      <c r="L721" s="4"/>
      <c r="M721" s="4"/>
      <c r="N721" s="4"/>
      <c r="O721" s="5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</row>
    <row r="722" spans="1:116" ht="12.75" hidden="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3"/>
      <c r="L722" s="4"/>
      <c r="M722" s="4"/>
      <c r="N722" s="4"/>
      <c r="O722" s="5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</row>
    <row r="723" spans="1:116" ht="12.75" hidden="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3"/>
      <c r="L723" s="4"/>
      <c r="M723" s="4"/>
      <c r="N723" s="4"/>
      <c r="O723" s="5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</row>
    <row r="724" spans="1:116" ht="12.75" hidden="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3"/>
      <c r="L724" s="4"/>
      <c r="M724" s="4"/>
      <c r="N724" s="4"/>
      <c r="O724" s="5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</row>
    <row r="725" spans="1:116" ht="12.75" hidden="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3"/>
      <c r="L725" s="4"/>
      <c r="M725" s="4"/>
      <c r="N725" s="4"/>
      <c r="O725" s="5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</row>
    <row r="726" spans="1:116" ht="12.75" hidden="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3"/>
      <c r="L726" s="4"/>
      <c r="M726" s="4"/>
      <c r="N726" s="4"/>
      <c r="O726" s="5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</row>
    <row r="727" spans="1:116" ht="12.75" hidden="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3"/>
      <c r="L727" s="4"/>
      <c r="M727" s="4"/>
      <c r="N727" s="4"/>
      <c r="O727" s="5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</row>
    <row r="728" spans="1:116" ht="12.75" hidden="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3"/>
      <c r="L728" s="4"/>
      <c r="M728" s="4"/>
      <c r="N728" s="4"/>
      <c r="O728" s="5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</row>
    <row r="729" spans="1:116" ht="12.75" hidden="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3"/>
      <c r="L729" s="4"/>
      <c r="M729" s="4"/>
      <c r="N729" s="4"/>
      <c r="O729" s="5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</row>
    <row r="730" spans="1:116" ht="12.75" hidden="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3"/>
      <c r="L730" s="4"/>
      <c r="M730" s="4"/>
      <c r="N730" s="4"/>
      <c r="O730" s="5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</row>
    <row r="731" spans="1:116" ht="12.75" hidden="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3"/>
      <c r="L731" s="4"/>
      <c r="M731" s="4"/>
      <c r="N731" s="4"/>
      <c r="O731" s="5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</row>
    <row r="732" spans="1:116" ht="12.75" hidden="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3"/>
      <c r="L732" s="4"/>
      <c r="M732" s="4"/>
      <c r="N732" s="4"/>
      <c r="O732" s="5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</row>
    <row r="733" spans="1:116" ht="12.75" hidden="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3"/>
      <c r="L733" s="4"/>
      <c r="M733" s="4"/>
      <c r="N733" s="4"/>
      <c r="O733" s="5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</row>
    <row r="734" spans="1:116" ht="12.75" hidden="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3"/>
      <c r="L734" s="4"/>
      <c r="M734" s="4"/>
      <c r="N734" s="4"/>
      <c r="O734" s="5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</row>
    <row r="735" spans="1:116" ht="12.75" hidden="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3"/>
      <c r="L735" s="4"/>
      <c r="M735" s="4"/>
      <c r="N735" s="4"/>
      <c r="O735" s="5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</row>
    <row r="736" spans="1:116" ht="12.75" hidden="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3"/>
      <c r="L736" s="4"/>
      <c r="M736" s="4"/>
      <c r="N736" s="4"/>
      <c r="O736" s="5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</row>
    <row r="737" spans="1:116" ht="12.75" hidden="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3"/>
      <c r="L737" s="4"/>
      <c r="M737" s="4"/>
      <c r="N737" s="4"/>
      <c r="O737" s="5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</row>
    <row r="738" spans="1:116" ht="12.75" hidden="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3"/>
      <c r="L738" s="4"/>
      <c r="M738" s="4"/>
      <c r="N738" s="4"/>
      <c r="O738" s="5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</row>
    <row r="739" spans="1:116" ht="12.75" hidden="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3"/>
      <c r="L739" s="4"/>
      <c r="M739" s="4"/>
      <c r="N739" s="4"/>
      <c r="O739" s="5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</row>
    <row r="740" spans="1:116" ht="12.75" hidden="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3"/>
      <c r="L740" s="4"/>
      <c r="M740" s="4"/>
      <c r="N740" s="4"/>
      <c r="O740" s="5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</row>
    <row r="741" spans="1:116" ht="12.75" hidden="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3"/>
      <c r="L741" s="4"/>
      <c r="M741" s="4"/>
      <c r="N741" s="4"/>
      <c r="O741" s="5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</row>
    <row r="742" spans="1:116" ht="12.75" hidden="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3"/>
      <c r="L742" s="4"/>
      <c r="M742" s="4"/>
      <c r="N742" s="4"/>
      <c r="O742" s="5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</row>
    <row r="743" spans="1:116" ht="12.75" hidden="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3"/>
      <c r="L743" s="4"/>
      <c r="M743" s="4"/>
      <c r="N743" s="4"/>
      <c r="O743" s="5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</row>
    <row r="744" spans="1:116" ht="12.75" hidden="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3"/>
      <c r="L744" s="4"/>
      <c r="M744" s="4"/>
      <c r="N744" s="4"/>
      <c r="O744" s="5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</row>
    <row r="745" spans="1:116" ht="12.75" hidden="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3"/>
      <c r="L745" s="4"/>
      <c r="M745" s="4"/>
      <c r="N745" s="4"/>
      <c r="O745" s="5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</row>
    <row r="746" spans="1:116" ht="12.75" hidden="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3"/>
      <c r="L746" s="4"/>
      <c r="M746" s="4"/>
      <c r="N746" s="4"/>
      <c r="O746" s="5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</row>
    <row r="747" spans="1:116" ht="12.75" hidden="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3"/>
      <c r="L747" s="4"/>
      <c r="M747" s="4"/>
      <c r="N747" s="4"/>
      <c r="O747" s="5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</row>
    <row r="748" spans="1:116" ht="12.75" hidden="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3"/>
      <c r="L748" s="4"/>
      <c r="M748" s="4"/>
      <c r="N748" s="4"/>
      <c r="O748" s="5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</row>
    <row r="749" spans="1:116" ht="12.75" hidden="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3"/>
      <c r="L749" s="4"/>
      <c r="M749" s="4"/>
      <c r="N749" s="4"/>
      <c r="O749" s="5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</row>
    <row r="750" spans="1:116" ht="12.75" hidden="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3"/>
      <c r="L750" s="4"/>
      <c r="M750" s="4"/>
      <c r="N750" s="4"/>
      <c r="O750" s="5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</row>
    <row r="751" spans="1:116" ht="12.75" hidden="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3"/>
      <c r="L751" s="4"/>
      <c r="M751" s="4"/>
      <c r="N751" s="4"/>
      <c r="O751" s="5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</row>
    <row r="752" spans="1:116" ht="12.75" hidden="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3"/>
      <c r="L752" s="4"/>
      <c r="M752" s="4"/>
      <c r="N752" s="4"/>
      <c r="O752" s="5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</row>
    <row r="753" spans="1:116" ht="12.75" hidden="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3"/>
      <c r="L753" s="4"/>
      <c r="M753" s="4"/>
      <c r="N753" s="4"/>
      <c r="O753" s="5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</row>
    <row r="754" spans="1:116" ht="12.75" hidden="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3"/>
      <c r="L754" s="4"/>
      <c r="M754" s="4"/>
      <c r="N754" s="4"/>
      <c r="O754" s="5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</row>
    <row r="755" spans="1:116" ht="12.75" hidden="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3"/>
      <c r="L755" s="4"/>
      <c r="M755" s="4"/>
      <c r="N755" s="4"/>
      <c r="O755" s="5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</row>
    <row r="756" spans="1:116" ht="12.75" hidden="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3"/>
      <c r="L756" s="4"/>
      <c r="M756" s="4"/>
      <c r="N756" s="4"/>
      <c r="O756" s="5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</row>
    <row r="757" spans="1:116" ht="12.75" hidden="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3"/>
      <c r="L757" s="4"/>
      <c r="M757" s="4"/>
      <c r="N757" s="4"/>
      <c r="O757" s="5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</row>
    <row r="758" spans="1:116" ht="12.75" hidden="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3"/>
      <c r="L758" s="4"/>
      <c r="M758" s="4"/>
      <c r="N758" s="4"/>
      <c r="O758" s="5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</row>
    <row r="759" spans="1:116" ht="12.75" hidden="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3"/>
      <c r="L759" s="4"/>
      <c r="M759" s="4"/>
      <c r="N759" s="4"/>
      <c r="O759" s="5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</row>
    <row r="760" spans="1:116" ht="12.75" hidden="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3"/>
      <c r="L760" s="4"/>
      <c r="M760" s="4"/>
      <c r="N760" s="4"/>
      <c r="O760" s="5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</row>
    <row r="761" spans="1:116" ht="12.75" hidden="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3"/>
      <c r="L761" s="4"/>
      <c r="M761" s="4"/>
      <c r="N761" s="4"/>
      <c r="O761" s="5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</row>
    <row r="762" spans="1:116" ht="12.75" hidden="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3"/>
      <c r="L762" s="4"/>
      <c r="M762" s="4"/>
      <c r="N762" s="4"/>
      <c r="O762" s="5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</row>
    <row r="763" spans="1:116" ht="12.75" hidden="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3"/>
      <c r="L763" s="4"/>
      <c r="M763" s="4"/>
      <c r="N763" s="4"/>
      <c r="O763" s="5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</row>
    <row r="764" spans="1:116" ht="12.75" hidden="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3"/>
      <c r="L764" s="4"/>
      <c r="M764" s="4"/>
      <c r="N764" s="4"/>
      <c r="O764" s="5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</row>
    <row r="765" spans="1:116" ht="12.75" hidden="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3"/>
      <c r="L765" s="4"/>
      <c r="M765" s="4"/>
      <c r="N765" s="4"/>
      <c r="O765" s="5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</row>
    <row r="766" spans="1:116" ht="12.75" hidden="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3"/>
      <c r="L766" s="4"/>
      <c r="M766" s="4"/>
      <c r="N766" s="4"/>
      <c r="O766" s="5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</row>
    <row r="767" spans="1:116" ht="12.75" hidden="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3"/>
      <c r="L767" s="4"/>
      <c r="M767" s="4"/>
      <c r="N767" s="4"/>
      <c r="O767" s="5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</row>
    <row r="768" spans="1:116" ht="12.75" hidden="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3"/>
      <c r="L768" s="4"/>
      <c r="M768" s="4"/>
      <c r="N768" s="4"/>
      <c r="O768" s="5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</row>
    <row r="769" spans="1:116" ht="12.75" hidden="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3"/>
      <c r="L769" s="4"/>
      <c r="M769" s="4"/>
      <c r="N769" s="4"/>
      <c r="O769" s="5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</row>
    <row r="770" spans="1:116" ht="12.75" hidden="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3"/>
      <c r="L770" s="4"/>
      <c r="M770" s="4"/>
      <c r="N770" s="4"/>
      <c r="O770" s="5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</row>
    <row r="771" spans="1:116" ht="12.75" hidden="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3"/>
      <c r="L771" s="4"/>
      <c r="M771" s="4"/>
      <c r="N771" s="4"/>
      <c r="O771" s="5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</row>
    <row r="772" spans="1:116" ht="12.75" hidden="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3"/>
      <c r="L772" s="4"/>
      <c r="M772" s="4"/>
      <c r="N772" s="4"/>
      <c r="O772" s="5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</row>
    <row r="773" spans="1:116" ht="12.75" hidden="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3"/>
      <c r="L773" s="4"/>
      <c r="M773" s="4"/>
      <c r="N773" s="4"/>
      <c r="O773" s="5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</row>
    <row r="774" spans="1:116" ht="12.75" hidden="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3"/>
      <c r="L774" s="4"/>
      <c r="M774" s="4"/>
      <c r="N774" s="4"/>
      <c r="O774" s="5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</row>
    <row r="775" spans="1:116" ht="12.75" hidden="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3"/>
      <c r="L775" s="4"/>
      <c r="M775" s="4"/>
      <c r="N775" s="4"/>
      <c r="O775" s="5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</row>
    <row r="776" spans="1:116" ht="12.75" hidden="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3"/>
      <c r="L776" s="4"/>
      <c r="M776" s="4"/>
      <c r="N776" s="4"/>
      <c r="O776" s="5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</row>
    <row r="777" spans="1:116" ht="12.75" hidden="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3"/>
      <c r="L777" s="4"/>
      <c r="M777" s="4"/>
      <c r="N777" s="4"/>
      <c r="O777" s="5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</row>
    <row r="778" spans="1:116" ht="12.75" hidden="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3"/>
      <c r="L778" s="4"/>
      <c r="M778" s="4"/>
      <c r="N778" s="4"/>
      <c r="O778" s="5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</row>
    <row r="779" spans="1:116" ht="12.75" hidden="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3"/>
      <c r="L779" s="4"/>
      <c r="M779" s="4"/>
      <c r="N779" s="4"/>
      <c r="O779" s="5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</row>
    <row r="780" spans="1:116" ht="12.75" hidden="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3"/>
      <c r="L780" s="4"/>
      <c r="M780" s="4"/>
      <c r="N780" s="4"/>
      <c r="O780" s="5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</row>
    <row r="781" spans="1:116" ht="12.75" hidden="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3"/>
      <c r="L781" s="4"/>
      <c r="M781" s="4"/>
      <c r="N781" s="4"/>
      <c r="O781" s="5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</row>
    <row r="782" spans="1:116" ht="12.75" hidden="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3"/>
      <c r="L782" s="4"/>
      <c r="M782" s="4"/>
      <c r="N782" s="4"/>
      <c r="O782" s="5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</row>
    <row r="783" spans="1:116" ht="12.75" hidden="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3"/>
      <c r="L783" s="4"/>
      <c r="M783" s="4"/>
      <c r="N783" s="4"/>
      <c r="O783" s="5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</row>
    <row r="784" spans="1:116" ht="12.75" hidden="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3"/>
      <c r="L784" s="4"/>
      <c r="M784" s="4"/>
      <c r="N784" s="4"/>
      <c r="O784" s="5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</row>
    <row r="785" spans="1:116" ht="12.75" hidden="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3"/>
      <c r="L785" s="4"/>
      <c r="M785" s="4"/>
      <c r="N785" s="4"/>
      <c r="O785" s="5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</row>
    <row r="786" spans="1:116" ht="12.75" hidden="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3"/>
      <c r="L786" s="4"/>
      <c r="M786" s="4"/>
      <c r="N786" s="4"/>
      <c r="O786" s="5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</row>
    <row r="787" spans="1:116" ht="12.75" hidden="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3"/>
      <c r="L787" s="4"/>
      <c r="M787" s="4"/>
      <c r="N787" s="4"/>
      <c r="O787" s="5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</row>
    <row r="788" spans="1:116" ht="12.75" hidden="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3"/>
      <c r="L788" s="4"/>
      <c r="M788" s="4"/>
      <c r="N788" s="4"/>
      <c r="O788" s="5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</row>
    <row r="789" spans="1:116" ht="12.75" hidden="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3"/>
      <c r="L789" s="4"/>
      <c r="M789" s="4"/>
      <c r="N789" s="4"/>
      <c r="O789" s="5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</row>
    <row r="790" spans="1:116" ht="12.75" hidden="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3"/>
      <c r="L790" s="4"/>
      <c r="M790" s="4"/>
      <c r="N790" s="4"/>
      <c r="O790" s="5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</row>
    <row r="791" spans="1:116" ht="12.75" hidden="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3"/>
      <c r="L791" s="4"/>
      <c r="M791" s="4"/>
      <c r="N791" s="4"/>
      <c r="O791" s="5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</row>
    <row r="792" spans="1:116" ht="12.75" hidden="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3"/>
      <c r="L792" s="4"/>
      <c r="M792" s="4"/>
      <c r="N792" s="4"/>
      <c r="O792" s="5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</row>
    <row r="793" spans="1:116" ht="12.75" hidden="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3"/>
      <c r="L793" s="4"/>
      <c r="M793" s="4"/>
      <c r="N793" s="4"/>
      <c r="O793" s="5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</row>
    <row r="794" spans="1:116" ht="12.75" hidden="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3"/>
      <c r="L794" s="4"/>
      <c r="M794" s="4"/>
      <c r="N794" s="4"/>
      <c r="O794" s="5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</row>
    <row r="795" spans="1:116" ht="12.75" hidden="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3"/>
      <c r="L795" s="4"/>
      <c r="M795" s="4"/>
      <c r="N795" s="4"/>
      <c r="O795" s="5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</row>
    <row r="796" spans="1:116" ht="12.75" hidden="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3"/>
      <c r="L796" s="4"/>
      <c r="M796" s="4"/>
      <c r="N796" s="4"/>
      <c r="O796" s="5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</row>
    <row r="797" spans="1:116" ht="12.75" hidden="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3"/>
      <c r="L797" s="4"/>
      <c r="M797" s="4"/>
      <c r="N797" s="4"/>
      <c r="O797" s="5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</row>
    <row r="798" spans="1:116" ht="12.75" hidden="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3"/>
      <c r="L798" s="4"/>
      <c r="M798" s="4"/>
      <c r="N798" s="4"/>
      <c r="O798" s="5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</row>
    <row r="799" spans="1:116" ht="12.75" hidden="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3"/>
      <c r="L799" s="4"/>
      <c r="M799" s="4"/>
      <c r="N799" s="4"/>
      <c r="O799" s="5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</row>
    <row r="800" spans="1:116" ht="12.75" hidden="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3"/>
      <c r="L800" s="4"/>
      <c r="M800" s="4"/>
      <c r="N800" s="4"/>
      <c r="O800" s="5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</row>
    <row r="801" spans="1:116" ht="12.75" hidden="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3"/>
      <c r="L801" s="4"/>
      <c r="M801" s="4"/>
      <c r="N801" s="4"/>
      <c r="O801" s="5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</row>
    <row r="802" spans="1:116" ht="12.75" hidden="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3"/>
      <c r="L802" s="4"/>
      <c r="M802" s="4"/>
      <c r="N802" s="4"/>
      <c r="O802" s="5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</row>
    <row r="803" spans="1:116" ht="12.75" hidden="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3"/>
      <c r="L803" s="4"/>
      <c r="M803" s="4"/>
      <c r="N803" s="4"/>
      <c r="O803" s="5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</row>
    <row r="804" spans="1:116" ht="12.75" hidden="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3"/>
      <c r="L804" s="4"/>
      <c r="M804" s="4"/>
      <c r="N804" s="4"/>
      <c r="O804" s="5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</row>
    <row r="805" spans="1:116" ht="12.75" hidden="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3"/>
      <c r="L805" s="4"/>
      <c r="M805" s="4"/>
      <c r="N805" s="4"/>
      <c r="O805" s="5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</row>
    <row r="806" spans="1:116" ht="12.75" hidden="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3"/>
      <c r="L806" s="4"/>
      <c r="M806" s="4"/>
      <c r="N806" s="4"/>
      <c r="O806" s="5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</row>
    <row r="807" spans="1:116" ht="12.75" hidden="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3"/>
      <c r="L807" s="4"/>
      <c r="M807" s="4"/>
      <c r="N807" s="4"/>
      <c r="O807" s="5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</row>
    <row r="808" spans="1:116" ht="12.75" hidden="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3"/>
      <c r="L808" s="4"/>
      <c r="M808" s="4"/>
      <c r="N808" s="4"/>
      <c r="O808" s="5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</row>
    <row r="809" spans="1:116" ht="12.75" hidden="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3"/>
      <c r="L809" s="4"/>
      <c r="M809" s="4"/>
      <c r="N809" s="4"/>
      <c r="O809" s="5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</row>
    <row r="810" spans="1:116" ht="12.75" hidden="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3"/>
      <c r="L810" s="4"/>
      <c r="M810" s="4"/>
      <c r="N810" s="4"/>
      <c r="O810" s="5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</row>
    <row r="811" spans="1:116" ht="12.75" hidden="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3"/>
      <c r="L811" s="4"/>
      <c r="M811" s="4"/>
      <c r="N811" s="4"/>
      <c r="O811" s="5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</row>
    <row r="812" spans="1:116" ht="12.75" hidden="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3"/>
      <c r="L812" s="4"/>
      <c r="M812" s="4"/>
      <c r="N812" s="4"/>
      <c r="O812" s="5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</row>
    <row r="813" spans="1:116" ht="12.75" hidden="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3"/>
      <c r="L813" s="4"/>
      <c r="M813" s="4"/>
      <c r="N813" s="4"/>
      <c r="O813" s="5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</row>
    <row r="814" spans="1:116" ht="12.75" hidden="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3"/>
      <c r="L814" s="4"/>
      <c r="M814" s="4"/>
      <c r="N814" s="4"/>
      <c r="O814" s="5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</row>
    <row r="815" spans="1:116" ht="12.75" hidden="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3"/>
      <c r="L815" s="4"/>
      <c r="M815" s="4"/>
      <c r="N815" s="4"/>
      <c r="O815" s="5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</row>
    <row r="816" spans="1:116" ht="12.75" hidden="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3"/>
      <c r="L816" s="4"/>
      <c r="M816" s="4"/>
      <c r="N816" s="4"/>
      <c r="O816" s="5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</row>
    <row r="817" spans="1:116" ht="12.75" hidden="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3"/>
      <c r="L817" s="4"/>
      <c r="M817" s="4"/>
      <c r="N817" s="4"/>
      <c r="O817" s="5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</row>
    <row r="818" spans="1:116" ht="12.75" hidden="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3"/>
      <c r="L818" s="4"/>
      <c r="M818" s="4"/>
      <c r="N818" s="4"/>
      <c r="O818" s="5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</row>
    <row r="819" spans="1:116" ht="12.75" hidden="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3"/>
      <c r="L819" s="4"/>
      <c r="M819" s="4"/>
      <c r="N819" s="4"/>
      <c r="O819" s="5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</row>
    <row r="820" spans="1:116" ht="12.75" hidden="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3"/>
      <c r="L820" s="4"/>
      <c r="M820" s="4"/>
      <c r="N820" s="4"/>
      <c r="O820" s="5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</row>
    <row r="821" spans="1:116" ht="12.75" hidden="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3"/>
      <c r="L821" s="4"/>
      <c r="M821" s="4"/>
      <c r="N821" s="4"/>
      <c r="O821" s="5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</row>
    <row r="822" spans="1:116" ht="12.75" hidden="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3"/>
      <c r="L822" s="4"/>
      <c r="M822" s="4"/>
      <c r="N822" s="4"/>
      <c r="O822" s="5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</row>
    <row r="823" spans="1:116" ht="12.75" hidden="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3"/>
      <c r="L823" s="4"/>
      <c r="M823" s="4"/>
      <c r="N823" s="4"/>
      <c r="O823" s="5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</row>
    <row r="824" spans="1:116" ht="12.75" hidden="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3"/>
      <c r="L824" s="4"/>
      <c r="M824" s="4"/>
      <c r="N824" s="4"/>
      <c r="O824" s="5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</row>
    <row r="825" spans="1:116" ht="12.75" hidden="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3"/>
      <c r="L825" s="4"/>
      <c r="M825" s="4"/>
      <c r="N825" s="4"/>
      <c r="O825" s="5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</row>
    <row r="826" spans="1:116" ht="12.75" hidden="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3"/>
      <c r="L826" s="4"/>
      <c r="M826" s="4"/>
      <c r="N826" s="4"/>
      <c r="O826" s="5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</row>
    <row r="827" spans="1:116" ht="12.75" hidden="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3"/>
      <c r="L827" s="4"/>
      <c r="M827" s="4"/>
      <c r="N827" s="4"/>
      <c r="O827" s="5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</row>
    <row r="828" spans="1:116" ht="12.75" hidden="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3"/>
      <c r="L828" s="4"/>
      <c r="M828" s="4"/>
      <c r="N828" s="4"/>
      <c r="O828" s="5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</row>
    <row r="829" spans="1:116" ht="12.75" hidden="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3"/>
      <c r="L829" s="4"/>
      <c r="M829" s="4"/>
      <c r="N829" s="4"/>
      <c r="O829" s="5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</row>
    <row r="830" spans="1:116" ht="12.75" hidden="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3"/>
      <c r="L830" s="4"/>
      <c r="M830" s="4"/>
      <c r="N830" s="4"/>
      <c r="O830" s="5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</row>
    <row r="831" spans="1:116" ht="12.75" hidden="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3"/>
      <c r="L831" s="4"/>
      <c r="M831" s="4"/>
      <c r="N831" s="4"/>
      <c r="O831" s="5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</row>
    <row r="832" spans="1:116" ht="12.75" hidden="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3"/>
      <c r="L832" s="4"/>
      <c r="M832" s="4"/>
      <c r="N832" s="4"/>
      <c r="O832" s="5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</row>
    <row r="833" spans="1:116" ht="12.75" hidden="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3"/>
      <c r="L833" s="4"/>
      <c r="M833" s="4"/>
      <c r="N833" s="4"/>
      <c r="O833" s="5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</row>
    <row r="834" spans="1:116" ht="12.75" hidden="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3"/>
      <c r="L834" s="4"/>
      <c r="M834" s="4"/>
      <c r="N834" s="4"/>
      <c r="O834" s="5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</row>
    <row r="835" spans="1:116" ht="12.75" hidden="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3"/>
      <c r="L835" s="4"/>
      <c r="M835" s="4"/>
      <c r="N835" s="4"/>
      <c r="O835" s="5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</row>
    <row r="836" spans="1:116" ht="12.75" hidden="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3"/>
      <c r="L836" s="4"/>
      <c r="M836" s="4"/>
      <c r="N836" s="4"/>
      <c r="O836" s="5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</row>
    <row r="837" spans="1:116" ht="12.75" hidden="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3"/>
      <c r="L837" s="4"/>
      <c r="M837" s="4"/>
      <c r="N837" s="4"/>
      <c r="O837" s="5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</row>
    <row r="838" spans="1:116" ht="12.75" hidden="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3"/>
      <c r="L838" s="4"/>
      <c r="M838" s="4"/>
      <c r="N838" s="4"/>
      <c r="O838" s="5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</row>
    <row r="839" spans="1:116" ht="12.75" hidden="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3"/>
      <c r="L839" s="4"/>
      <c r="M839" s="4"/>
      <c r="N839" s="4"/>
      <c r="O839" s="5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</row>
    <row r="840" spans="1:116" ht="12.75" hidden="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3"/>
      <c r="L840" s="4"/>
      <c r="M840" s="4"/>
      <c r="N840" s="4"/>
      <c r="O840" s="5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</row>
    <row r="841" spans="1:116" ht="12.75" hidden="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3"/>
      <c r="L841" s="4"/>
      <c r="M841" s="4"/>
      <c r="N841" s="4"/>
      <c r="O841" s="5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</row>
    <row r="842" spans="1:116" ht="12.75" hidden="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3"/>
      <c r="L842" s="4"/>
      <c r="M842" s="4"/>
      <c r="N842" s="4"/>
      <c r="O842" s="5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</row>
    <row r="843" spans="1:116" ht="12.75" hidden="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3"/>
      <c r="L843" s="4"/>
      <c r="M843" s="4"/>
      <c r="N843" s="4"/>
      <c r="O843" s="5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</row>
    <row r="844" spans="1:116" ht="12.75" hidden="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3"/>
      <c r="L844" s="4"/>
      <c r="M844" s="4"/>
      <c r="N844" s="4"/>
      <c r="O844" s="5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</row>
    <row r="845" spans="1:116" ht="12.75" hidden="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3"/>
      <c r="L845" s="4"/>
      <c r="M845" s="4"/>
      <c r="N845" s="4"/>
      <c r="O845" s="5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</row>
    <row r="846" spans="1:116" ht="12.75" hidden="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3"/>
      <c r="L846" s="4"/>
      <c r="M846" s="4"/>
      <c r="N846" s="4"/>
      <c r="O846" s="5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</row>
    <row r="847" spans="1:116" ht="12.75" hidden="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3"/>
      <c r="L847" s="4"/>
      <c r="M847" s="4"/>
      <c r="N847" s="4"/>
      <c r="O847" s="5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</row>
    <row r="848" spans="1:116" ht="12.75" hidden="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3"/>
      <c r="L848" s="4"/>
      <c r="M848" s="4"/>
      <c r="N848" s="4"/>
      <c r="O848" s="5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</row>
    <row r="849" spans="1:116" ht="12.75" hidden="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3"/>
      <c r="L849" s="4"/>
      <c r="M849" s="4"/>
      <c r="N849" s="4"/>
      <c r="O849" s="5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</row>
    <row r="850" spans="1:116" ht="12.75" hidden="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3"/>
      <c r="L850" s="4"/>
      <c r="M850" s="4"/>
      <c r="N850" s="4"/>
      <c r="O850" s="5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</row>
    <row r="851" spans="1:116" ht="12.75" hidden="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3"/>
      <c r="L851" s="4"/>
      <c r="M851" s="4"/>
      <c r="N851" s="4"/>
      <c r="O851" s="5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</row>
    <row r="852" spans="1:116" ht="12.75" hidden="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3"/>
      <c r="L852" s="4"/>
      <c r="M852" s="4"/>
      <c r="N852" s="4"/>
      <c r="O852" s="5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</row>
    <row r="853" spans="1:116" ht="12.75" hidden="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3"/>
      <c r="L853" s="4"/>
      <c r="M853" s="4"/>
      <c r="N853" s="4"/>
      <c r="O853" s="5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</row>
    <row r="854" spans="1:116" ht="12.75" hidden="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3"/>
      <c r="L854" s="4"/>
      <c r="M854" s="4"/>
      <c r="N854" s="4"/>
      <c r="O854" s="5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</row>
    <row r="855" spans="1:116" ht="12.75" hidden="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3"/>
      <c r="L855" s="4"/>
      <c r="M855" s="4"/>
      <c r="N855" s="4"/>
      <c r="O855" s="5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</row>
    <row r="856" spans="1:116" ht="12.75" hidden="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3"/>
      <c r="L856" s="4"/>
      <c r="M856" s="4"/>
      <c r="N856" s="4"/>
      <c r="O856" s="5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</row>
    <row r="857" spans="1:116" ht="12.75" hidden="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3"/>
      <c r="L857" s="4"/>
      <c r="M857" s="4"/>
      <c r="N857" s="4"/>
      <c r="O857" s="5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</row>
    <row r="858" spans="1:116" ht="12.75" hidden="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3"/>
      <c r="L858" s="4"/>
      <c r="M858" s="4"/>
      <c r="N858" s="4"/>
      <c r="O858" s="5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</row>
    <row r="859" spans="1:116" ht="12.75" hidden="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3"/>
      <c r="L859" s="4"/>
      <c r="M859" s="4"/>
      <c r="N859" s="4"/>
      <c r="O859" s="5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</row>
    <row r="860" spans="1:116" ht="12.75" hidden="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3"/>
      <c r="L860" s="4"/>
      <c r="M860" s="4"/>
      <c r="N860" s="4"/>
      <c r="O860" s="5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</row>
    <row r="861" spans="1:116" ht="12.75" hidden="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3"/>
      <c r="L861" s="4"/>
      <c r="M861" s="4"/>
      <c r="N861" s="4"/>
      <c r="O861" s="5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</row>
    <row r="862" spans="1:116" ht="12.75" hidden="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3"/>
      <c r="L862" s="4"/>
      <c r="M862" s="4"/>
      <c r="N862" s="4"/>
      <c r="O862" s="5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</row>
    <row r="863" spans="1:116" ht="12.75" hidden="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3"/>
      <c r="L863" s="4"/>
      <c r="M863" s="4"/>
      <c r="N863" s="4"/>
      <c r="O863" s="5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</row>
    <row r="864" spans="1:116" ht="12.75" hidden="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3"/>
      <c r="L864" s="4"/>
      <c r="M864" s="4"/>
      <c r="N864" s="4"/>
      <c r="O864" s="5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</row>
    <row r="865" spans="1:116" ht="12.75" hidden="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3"/>
      <c r="L865" s="4"/>
      <c r="M865" s="4"/>
      <c r="N865" s="4"/>
      <c r="O865" s="5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</row>
    <row r="866" spans="1:116" ht="12.75" hidden="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3"/>
      <c r="L866" s="4"/>
      <c r="M866" s="4"/>
      <c r="N866" s="4"/>
      <c r="O866" s="5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</row>
    <row r="867" spans="1:116" ht="12.75" hidden="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3"/>
      <c r="L867" s="4"/>
      <c r="M867" s="4"/>
      <c r="N867" s="4"/>
      <c r="O867" s="5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</row>
    <row r="868" spans="1:116" ht="12.75" hidden="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3"/>
      <c r="L868" s="4"/>
      <c r="M868" s="4"/>
      <c r="N868" s="4"/>
      <c r="O868" s="5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</row>
    <row r="869" spans="1:116" ht="12.75" hidden="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3"/>
      <c r="L869" s="4"/>
      <c r="M869" s="4"/>
      <c r="N869" s="4"/>
      <c r="O869" s="5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</row>
    <row r="870" spans="1:116" ht="12.75" hidden="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3"/>
      <c r="L870" s="4"/>
      <c r="M870" s="4"/>
      <c r="N870" s="4"/>
      <c r="O870" s="5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</row>
    <row r="871" spans="1:116" ht="12.75" hidden="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3"/>
      <c r="L871" s="4"/>
      <c r="M871" s="4"/>
      <c r="N871" s="4"/>
      <c r="O871" s="5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</row>
    <row r="872" spans="1:116" ht="12.75" hidden="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3"/>
      <c r="L872" s="4"/>
      <c r="M872" s="4"/>
      <c r="N872" s="4"/>
      <c r="O872" s="5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</row>
    <row r="873" spans="1:116" ht="12.75" hidden="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3"/>
      <c r="L873" s="4"/>
      <c r="M873" s="4"/>
      <c r="N873" s="4"/>
      <c r="O873" s="5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</row>
    <row r="874" spans="1:116" ht="12.75" hidden="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3"/>
      <c r="L874" s="4"/>
      <c r="M874" s="4"/>
      <c r="N874" s="4"/>
      <c r="O874" s="5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</row>
    <row r="875" spans="1:116" ht="12.75" hidden="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3"/>
      <c r="L875" s="4"/>
      <c r="M875" s="4"/>
      <c r="N875" s="4"/>
      <c r="O875" s="5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</row>
    <row r="876" spans="1:116" ht="12.75" hidden="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3"/>
      <c r="L876" s="4"/>
      <c r="M876" s="4"/>
      <c r="N876" s="4"/>
      <c r="O876" s="5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</row>
    <row r="877" spans="1:116" ht="12.75" hidden="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3"/>
      <c r="L877" s="4"/>
      <c r="M877" s="4"/>
      <c r="N877" s="4"/>
      <c r="O877" s="5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</row>
    <row r="878" spans="1:116" ht="12.75" hidden="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3"/>
      <c r="L878" s="4"/>
      <c r="M878" s="4"/>
      <c r="N878" s="4"/>
      <c r="O878" s="5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</row>
    <row r="879" spans="1:116" ht="12.75" hidden="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3"/>
      <c r="L879" s="4"/>
      <c r="M879" s="4"/>
      <c r="N879" s="4"/>
      <c r="O879" s="5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</row>
    <row r="880" spans="1:116" ht="12.75" hidden="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3"/>
      <c r="L880" s="4"/>
      <c r="M880" s="4"/>
      <c r="N880" s="4"/>
      <c r="O880" s="5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</row>
    <row r="881" spans="1:116" ht="12.75" hidden="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3"/>
      <c r="L881" s="4"/>
      <c r="M881" s="4"/>
      <c r="N881" s="4"/>
      <c r="O881" s="5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</row>
    <row r="882" spans="1:116" ht="12.75" hidden="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3"/>
      <c r="L882" s="4"/>
      <c r="M882" s="4"/>
      <c r="N882" s="4"/>
      <c r="O882" s="5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</row>
    <row r="883" spans="1:116" ht="12.75" hidden="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3"/>
      <c r="L883" s="4"/>
      <c r="M883" s="4"/>
      <c r="N883" s="4"/>
      <c r="O883" s="5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</row>
    <row r="884" spans="1:116" ht="12.75" hidden="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3"/>
      <c r="L884" s="4"/>
      <c r="M884" s="4"/>
      <c r="N884" s="4"/>
      <c r="O884" s="5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</row>
    <row r="885" spans="1:116" ht="12.75" hidden="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3"/>
      <c r="L885" s="4"/>
      <c r="M885" s="4"/>
      <c r="N885" s="4"/>
      <c r="O885" s="5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</row>
    <row r="886" spans="1:116" ht="12.75" hidden="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3"/>
      <c r="L886" s="4"/>
      <c r="M886" s="4"/>
      <c r="N886" s="4"/>
      <c r="O886" s="5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</row>
    <row r="887" spans="1:116" ht="12.75" hidden="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3"/>
      <c r="L887" s="4"/>
      <c r="M887" s="4"/>
      <c r="N887" s="4"/>
      <c r="O887" s="5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</row>
    <row r="888" spans="1:116" ht="12.75" hidden="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3"/>
      <c r="L888" s="4"/>
      <c r="M888" s="4"/>
      <c r="N888" s="4"/>
      <c r="O888" s="5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</row>
    <row r="889" spans="1:116" ht="12.75" hidden="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3"/>
      <c r="L889" s="4"/>
      <c r="M889" s="4"/>
      <c r="N889" s="4"/>
      <c r="O889" s="5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</row>
    <row r="890" spans="1:116" ht="12.75" hidden="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3"/>
      <c r="L890" s="4"/>
      <c r="M890" s="4"/>
      <c r="N890" s="4"/>
      <c r="O890" s="5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</row>
    <row r="891" spans="1:116" ht="12.75" hidden="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3"/>
      <c r="L891" s="4"/>
      <c r="M891" s="4"/>
      <c r="N891" s="4"/>
      <c r="O891" s="5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</row>
    <row r="892" spans="1:116" ht="12.75" hidden="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3"/>
      <c r="L892" s="4"/>
      <c r="M892" s="4"/>
      <c r="N892" s="4"/>
      <c r="O892" s="5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</row>
    <row r="893" spans="1:116" ht="12.75" hidden="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3"/>
      <c r="L893" s="4"/>
      <c r="M893" s="4"/>
      <c r="N893" s="4"/>
      <c r="O893" s="5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</row>
    <row r="894" spans="1:116" ht="12.75" hidden="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3"/>
      <c r="L894" s="4"/>
      <c r="M894" s="4"/>
      <c r="N894" s="4"/>
      <c r="O894" s="5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</row>
    <row r="895" spans="1:116" ht="12.75" hidden="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3"/>
      <c r="L895" s="4"/>
      <c r="M895" s="4"/>
      <c r="N895" s="4"/>
      <c r="O895" s="5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</row>
    <row r="896" spans="1:116" ht="12.75" hidden="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3"/>
      <c r="L896" s="4"/>
      <c r="M896" s="4"/>
      <c r="N896" s="4"/>
      <c r="O896" s="5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</row>
    <row r="897" spans="1:116" ht="12.75" hidden="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3"/>
      <c r="L897" s="4"/>
      <c r="M897" s="4"/>
      <c r="N897" s="4"/>
      <c r="O897" s="5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</row>
    <row r="898" spans="1:116" ht="12.75" hidden="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3"/>
      <c r="L898" s="4"/>
      <c r="M898" s="4"/>
      <c r="N898" s="4"/>
      <c r="O898" s="5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</row>
    <row r="899" spans="1:116" ht="12.75" hidden="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3"/>
      <c r="L899" s="4"/>
      <c r="M899" s="4"/>
      <c r="N899" s="4"/>
      <c r="O899" s="5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</row>
    <row r="900" spans="1:116" ht="12.75" hidden="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3"/>
      <c r="L900" s="4"/>
      <c r="M900" s="4"/>
      <c r="N900" s="4"/>
      <c r="O900" s="5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</row>
    <row r="901" spans="1:116" ht="12.75" hidden="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3"/>
      <c r="L901" s="4"/>
      <c r="M901" s="4"/>
      <c r="N901" s="4"/>
      <c r="O901" s="5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</row>
    <row r="902" spans="1:116" ht="12.75" hidden="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3"/>
      <c r="L902" s="4"/>
      <c r="M902" s="4"/>
      <c r="N902" s="4"/>
      <c r="O902" s="5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</row>
    <row r="903" spans="1:116" ht="12.75" hidden="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3"/>
      <c r="L903" s="4"/>
      <c r="M903" s="4"/>
      <c r="N903" s="4"/>
      <c r="O903" s="5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</row>
    <row r="904" spans="1:116" ht="12.75" hidden="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3"/>
      <c r="L904" s="4"/>
      <c r="M904" s="4"/>
      <c r="N904" s="4"/>
      <c r="O904" s="5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</row>
    <row r="905" spans="1:116" ht="12.75" hidden="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3"/>
      <c r="L905" s="4"/>
      <c r="M905" s="4"/>
      <c r="N905" s="4"/>
      <c r="O905" s="5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</row>
    <row r="906" spans="1:116" ht="12.75" hidden="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3"/>
      <c r="L906" s="4"/>
      <c r="M906" s="4"/>
      <c r="N906" s="4"/>
      <c r="O906" s="5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</row>
    <row r="907" spans="1:116" ht="12.75" hidden="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3"/>
      <c r="L907" s="4"/>
      <c r="M907" s="4"/>
      <c r="N907" s="4"/>
      <c r="O907" s="5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</row>
    <row r="908" spans="1:116" ht="12.75" hidden="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3"/>
      <c r="L908" s="4"/>
      <c r="M908" s="4"/>
      <c r="N908" s="4"/>
      <c r="O908" s="5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</row>
    <row r="909" spans="1:116" ht="12.75" hidden="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3"/>
      <c r="L909" s="4"/>
      <c r="M909" s="4"/>
      <c r="N909" s="4"/>
      <c r="O909" s="5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</row>
    <row r="910" spans="1:116" ht="12.75" hidden="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3"/>
      <c r="L910" s="4"/>
      <c r="M910" s="4"/>
      <c r="N910" s="4"/>
      <c r="O910" s="5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</row>
    <row r="911" spans="1:116" ht="12.75" hidden="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3"/>
      <c r="L911" s="4"/>
      <c r="M911" s="4"/>
      <c r="N911" s="4"/>
      <c r="O911" s="5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</row>
    <row r="912" spans="1:116" ht="12.75" hidden="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3"/>
      <c r="L912" s="4"/>
      <c r="M912" s="4"/>
      <c r="N912" s="4"/>
      <c r="O912" s="5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</row>
    <row r="913" spans="1:116" ht="12.75" hidden="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3"/>
      <c r="L913" s="4"/>
      <c r="M913" s="4"/>
      <c r="N913" s="4"/>
      <c r="O913" s="5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</row>
    <row r="914" spans="1:116" ht="12.75" hidden="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3"/>
      <c r="L914" s="4"/>
      <c r="M914" s="4"/>
      <c r="N914" s="4"/>
      <c r="O914" s="5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</row>
    <row r="915" spans="1:116" ht="12.75" hidden="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3"/>
      <c r="L915" s="4"/>
      <c r="M915" s="4"/>
      <c r="N915" s="4"/>
      <c r="O915" s="5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</row>
    <row r="916" spans="1:116" ht="12.75" hidden="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3"/>
      <c r="L916" s="4"/>
      <c r="M916" s="4"/>
      <c r="N916" s="4"/>
      <c r="O916" s="5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</row>
    <row r="917" spans="1:116" ht="12.75" hidden="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3"/>
      <c r="L917" s="4"/>
      <c r="M917" s="4"/>
      <c r="N917" s="4"/>
      <c r="O917" s="5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</row>
    <row r="918" spans="1:116" ht="12.75" hidden="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3"/>
      <c r="L918" s="4"/>
      <c r="M918" s="4"/>
      <c r="N918" s="4"/>
      <c r="O918" s="5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</row>
    <row r="919" spans="1:116" ht="12.75" hidden="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3"/>
      <c r="L919" s="4"/>
      <c r="M919" s="4"/>
      <c r="N919" s="4"/>
      <c r="O919" s="5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</row>
    <row r="920" spans="1:116" ht="12.75" hidden="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3"/>
      <c r="L920" s="4"/>
      <c r="M920" s="4"/>
      <c r="N920" s="4"/>
      <c r="O920" s="5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</row>
    <row r="921" spans="1:116" ht="12.75" hidden="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3"/>
      <c r="L921" s="4"/>
      <c r="M921" s="4"/>
      <c r="N921" s="4"/>
      <c r="O921" s="5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</row>
    <row r="922" spans="1:116" ht="12.75" hidden="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3"/>
      <c r="L922" s="4"/>
      <c r="M922" s="4"/>
      <c r="N922" s="4"/>
      <c r="O922" s="5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</row>
    <row r="923" spans="1:116" ht="12.75" hidden="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3"/>
      <c r="L923" s="4"/>
      <c r="M923" s="4"/>
      <c r="N923" s="4"/>
      <c r="O923" s="5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</row>
    <row r="924" spans="1:116" ht="12.75" hidden="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3"/>
      <c r="L924" s="4"/>
      <c r="M924" s="4"/>
      <c r="N924" s="4"/>
      <c r="O924" s="5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</row>
    <row r="925" spans="1:116" ht="12.75" hidden="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3"/>
      <c r="L925" s="4"/>
      <c r="M925" s="4"/>
      <c r="N925" s="4"/>
      <c r="O925" s="5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</row>
    <row r="926" spans="1:116" ht="12.75" hidden="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3"/>
      <c r="L926" s="4"/>
      <c r="M926" s="4"/>
      <c r="N926" s="4"/>
      <c r="O926" s="5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</row>
    <row r="927" spans="1:116" ht="12.75" hidden="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3"/>
      <c r="L927" s="4"/>
      <c r="M927" s="4"/>
      <c r="N927" s="4"/>
      <c r="O927" s="5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</row>
    <row r="928" spans="1:116" ht="12.75" hidden="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3"/>
      <c r="L928" s="4"/>
      <c r="M928" s="4"/>
      <c r="N928" s="4"/>
      <c r="O928" s="5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</row>
    <row r="929" spans="1:116" ht="12.75" hidden="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3"/>
      <c r="L929" s="4"/>
      <c r="M929" s="4"/>
      <c r="N929" s="4"/>
      <c r="O929" s="5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</row>
    <row r="930" spans="1:116" ht="12.75" hidden="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3"/>
      <c r="L930" s="4"/>
      <c r="M930" s="4"/>
      <c r="N930" s="4"/>
      <c r="O930" s="5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</row>
    <row r="931" spans="1:116" ht="12.75" hidden="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3"/>
      <c r="L931" s="4"/>
      <c r="M931" s="4"/>
      <c r="N931" s="4"/>
      <c r="O931" s="5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</row>
    <row r="932" spans="1:116" ht="12.75" hidden="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3"/>
      <c r="L932" s="4"/>
      <c r="M932" s="4"/>
      <c r="N932" s="4"/>
      <c r="O932" s="5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</row>
    <row r="933" spans="1:116" ht="12.75" hidden="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3"/>
      <c r="L933" s="4"/>
      <c r="M933" s="4"/>
      <c r="N933" s="4"/>
      <c r="O933" s="5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</row>
    <row r="934" spans="1:116" ht="12.75" hidden="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3"/>
      <c r="L934" s="4"/>
      <c r="M934" s="4"/>
      <c r="N934" s="4"/>
      <c r="O934" s="5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</row>
    <row r="935" spans="1:116" ht="12.75" hidden="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3"/>
      <c r="L935" s="4"/>
      <c r="M935" s="4"/>
      <c r="N935" s="4"/>
      <c r="O935" s="5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</row>
    <row r="936" spans="1:116" ht="12.75" hidden="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3"/>
      <c r="L936" s="4"/>
      <c r="M936" s="4"/>
      <c r="N936" s="4"/>
      <c r="O936" s="5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</row>
    <row r="937" spans="1:116" ht="12.75" hidden="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3"/>
      <c r="L937" s="4"/>
      <c r="M937" s="4"/>
      <c r="N937" s="4"/>
      <c r="O937" s="5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</row>
    <row r="938" spans="1:116" ht="12.75" hidden="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3"/>
      <c r="L938" s="4"/>
      <c r="M938" s="4"/>
      <c r="N938" s="4"/>
      <c r="O938" s="5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</row>
    <row r="939" spans="1:116" ht="12.75" hidden="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3"/>
      <c r="L939" s="4"/>
      <c r="M939" s="4"/>
      <c r="N939" s="4"/>
      <c r="O939" s="5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</row>
    <row r="940" spans="1:116" ht="12.75" hidden="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3"/>
      <c r="L940" s="4"/>
      <c r="M940" s="4"/>
      <c r="N940" s="4"/>
      <c r="O940" s="5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</row>
    <row r="941" spans="1:116" ht="12.75" hidden="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3"/>
      <c r="L941" s="4"/>
      <c r="M941" s="4"/>
      <c r="N941" s="4"/>
      <c r="O941" s="5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</row>
    <row r="942" spans="1:116" ht="12.75" hidden="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3"/>
      <c r="L942" s="4"/>
      <c r="M942" s="4"/>
      <c r="N942" s="4"/>
      <c r="O942" s="5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</row>
    <row r="943" spans="1:116" ht="12.75" hidden="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3"/>
      <c r="L943" s="4"/>
      <c r="M943" s="4"/>
      <c r="N943" s="4"/>
      <c r="O943" s="5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</row>
    <row r="944" spans="1:116" ht="12.75" hidden="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3"/>
      <c r="L944" s="4"/>
      <c r="M944" s="4"/>
      <c r="N944" s="4"/>
      <c r="O944" s="5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</row>
    <row r="945" spans="1:116" ht="12.75" hidden="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3"/>
      <c r="L945" s="4"/>
      <c r="M945" s="4"/>
      <c r="N945" s="4"/>
      <c r="O945" s="5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</row>
    <row r="946" spans="1:116" ht="12.75" hidden="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3"/>
      <c r="L946" s="4"/>
      <c r="M946" s="4"/>
      <c r="N946" s="4"/>
      <c r="O946" s="5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</row>
    <row r="947" spans="1:116" ht="12.75" hidden="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3"/>
      <c r="L947" s="4"/>
      <c r="M947" s="4"/>
      <c r="N947" s="4"/>
      <c r="O947" s="5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</row>
    <row r="948" spans="1:116" ht="12.75" hidden="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3"/>
      <c r="L948" s="4"/>
      <c r="M948" s="4"/>
      <c r="N948" s="4"/>
      <c r="O948" s="5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</row>
    <row r="949" spans="1:116" ht="12.75" hidden="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3"/>
      <c r="L949" s="4"/>
      <c r="M949" s="4"/>
      <c r="N949" s="4"/>
      <c r="O949" s="5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</row>
    <row r="950" spans="1:116" ht="12.75" hidden="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3"/>
      <c r="L950" s="4"/>
      <c r="M950" s="4"/>
      <c r="N950" s="4"/>
      <c r="O950" s="5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</row>
    <row r="951" spans="1:116" ht="12.75" hidden="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3"/>
      <c r="L951" s="4"/>
      <c r="M951" s="4"/>
      <c r="N951" s="4"/>
      <c r="O951" s="5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</row>
    <row r="952" spans="1:116" ht="12.75" hidden="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3"/>
      <c r="L952" s="4"/>
      <c r="M952" s="4"/>
      <c r="N952" s="4"/>
      <c r="O952" s="5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</row>
    <row r="953" spans="1:116" ht="12.75" hidden="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3"/>
      <c r="L953" s="4"/>
      <c r="M953" s="4"/>
      <c r="N953" s="4"/>
      <c r="O953" s="5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</row>
    <row r="954" spans="1:116" ht="12.75" hidden="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3"/>
      <c r="L954" s="4"/>
      <c r="M954" s="4"/>
      <c r="N954" s="4"/>
      <c r="O954" s="5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</row>
    <row r="955" spans="1:116" ht="12.75" hidden="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3"/>
      <c r="L955" s="4"/>
      <c r="M955" s="4"/>
      <c r="N955" s="4"/>
      <c r="O955" s="5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</row>
    <row r="956" spans="1:116" ht="12.75" hidden="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3"/>
      <c r="L956" s="4"/>
      <c r="M956" s="4"/>
      <c r="N956" s="4"/>
      <c r="O956" s="5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</row>
    <row r="957" spans="1:116" ht="12.75" hidden="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3"/>
      <c r="L957" s="4"/>
      <c r="M957" s="4"/>
      <c r="N957" s="4"/>
      <c r="O957" s="5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</row>
    <row r="958" spans="1:116" ht="12.75" hidden="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3"/>
      <c r="L958" s="4"/>
      <c r="M958" s="4"/>
      <c r="N958" s="4"/>
      <c r="O958" s="5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</row>
    <row r="959" spans="1:116" ht="12.75" hidden="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3"/>
      <c r="L959" s="4"/>
      <c r="M959" s="4"/>
      <c r="N959" s="4"/>
      <c r="O959" s="5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</row>
    <row r="960" spans="1:116" ht="12.75" hidden="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3"/>
      <c r="L960" s="4"/>
      <c r="M960" s="4"/>
      <c r="N960" s="4"/>
      <c r="O960" s="5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</row>
    <row r="961" spans="1:116" ht="12.75" hidden="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3"/>
      <c r="L961" s="4"/>
      <c r="M961" s="4"/>
      <c r="N961" s="4"/>
      <c r="O961" s="5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</row>
    <row r="962" spans="1:116" ht="12.75" hidden="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3"/>
      <c r="L962" s="4"/>
      <c r="M962" s="4"/>
      <c r="N962" s="4"/>
      <c r="O962" s="5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</row>
    <row r="963" spans="1:116" ht="12.75" hidden="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3"/>
      <c r="L963" s="4"/>
      <c r="M963" s="4"/>
      <c r="N963" s="4"/>
      <c r="O963" s="5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</row>
    <row r="964" spans="1:116" ht="12.75" hidden="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3"/>
      <c r="L964" s="4"/>
      <c r="M964" s="4"/>
      <c r="N964" s="4"/>
      <c r="O964" s="5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</row>
    <row r="965" spans="1:116" ht="12.75" hidden="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3"/>
      <c r="L965" s="4"/>
      <c r="M965" s="4"/>
      <c r="N965" s="4"/>
      <c r="O965" s="5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</row>
    <row r="966" spans="1:116" ht="12.75" hidden="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3"/>
      <c r="L966" s="4"/>
      <c r="M966" s="4"/>
      <c r="N966" s="4"/>
      <c r="O966" s="5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</row>
    <row r="967" spans="1:116" ht="12.75" hidden="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3"/>
      <c r="L967" s="4"/>
      <c r="M967" s="4"/>
      <c r="N967" s="4"/>
      <c r="O967" s="5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</row>
    <row r="968" spans="1:116" ht="12.75" hidden="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3"/>
      <c r="L968" s="4"/>
      <c r="M968" s="4"/>
      <c r="N968" s="4"/>
      <c r="O968" s="5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</row>
    <row r="969" spans="1:116" ht="12.75" hidden="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3"/>
      <c r="L969" s="4"/>
      <c r="M969" s="4"/>
      <c r="N969" s="4"/>
      <c r="O969" s="5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</row>
    <row r="970" spans="1:116" ht="12.75" hidden="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3"/>
      <c r="L970" s="4"/>
      <c r="M970" s="4"/>
      <c r="N970" s="4"/>
      <c r="O970" s="5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</row>
    <row r="971" spans="1:116" ht="12.75" hidden="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3"/>
      <c r="L971" s="4"/>
      <c r="M971" s="4"/>
      <c r="N971" s="4"/>
      <c r="O971" s="5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</row>
    <row r="972" spans="1:116" ht="12.75" hidden="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3"/>
      <c r="L972" s="4"/>
      <c r="M972" s="4"/>
      <c r="N972" s="4"/>
      <c r="O972" s="5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</row>
    <row r="973" spans="1:116" ht="12.75" hidden="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3"/>
      <c r="L973" s="4"/>
      <c r="M973" s="4"/>
      <c r="N973" s="4"/>
      <c r="O973" s="5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</row>
    <row r="974" spans="1:116" ht="12.75" hidden="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3"/>
      <c r="L974" s="4"/>
      <c r="M974" s="4"/>
      <c r="N974" s="4"/>
      <c r="O974" s="5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</row>
    <row r="975" spans="1:116" ht="12.75" hidden="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3"/>
      <c r="L975" s="4"/>
      <c r="M975" s="4"/>
      <c r="N975" s="4"/>
      <c r="O975" s="5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</row>
    <row r="976" spans="1:116" ht="12.75" hidden="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3"/>
      <c r="L976" s="4"/>
      <c r="M976" s="4"/>
      <c r="N976" s="4"/>
      <c r="O976" s="5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</row>
    <row r="977" spans="1:116" ht="12.75" hidden="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3"/>
      <c r="L977" s="4"/>
      <c r="M977" s="4"/>
      <c r="N977" s="4"/>
      <c r="O977" s="5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</row>
    <row r="978" spans="1:116" ht="12.75" hidden="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3"/>
      <c r="L978" s="4"/>
      <c r="M978" s="4"/>
      <c r="N978" s="4"/>
      <c r="O978" s="5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</row>
    <row r="979" spans="1:116" ht="12.75" hidden="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3"/>
      <c r="L979" s="4"/>
      <c r="M979" s="4"/>
      <c r="N979" s="4"/>
      <c r="O979" s="5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</row>
    <row r="980" spans="1:116" ht="12.75" hidden="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3"/>
      <c r="L980" s="4"/>
      <c r="M980" s="4"/>
      <c r="N980" s="4"/>
      <c r="O980" s="5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</row>
    <row r="981" spans="1:116" ht="12.75" hidden="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3"/>
      <c r="L981" s="4"/>
      <c r="M981" s="4"/>
      <c r="N981" s="4"/>
      <c r="O981" s="5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</row>
    <row r="982" spans="1:116" ht="12.75" hidden="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3"/>
      <c r="L982" s="4"/>
      <c r="M982" s="4"/>
      <c r="N982" s="4"/>
      <c r="O982" s="5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</row>
    <row r="983" spans="1:116" ht="12.75" hidden="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3"/>
      <c r="L983" s="4"/>
      <c r="M983" s="4"/>
      <c r="N983" s="4"/>
      <c r="O983" s="5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</row>
    <row r="984" spans="1:116" ht="12.75" hidden="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3"/>
      <c r="L984" s="4"/>
      <c r="M984" s="4"/>
      <c r="N984" s="4"/>
      <c r="O984" s="5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</row>
    <row r="985" spans="1:116" ht="12.75" hidden="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3"/>
      <c r="L985" s="4"/>
      <c r="M985" s="4"/>
      <c r="N985" s="4"/>
      <c r="O985" s="5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</row>
    <row r="986" spans="1:116" ht="12.75" hidden="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3"/>
      <c r="L986" s="4"/>
      <c r="M986" s="4"/>
      <c r="N986" s="4"/>
      <c r="O986" s="5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</row>
    <row r="987" spans="1:116" ht="12.75" hidden="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3"/>
      <c r="L987" s="4"/>
      <c r="M987" s="4"/>
      <c r="N987" s="4"/>
      <c r="O987" s="5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</row>
    <row r="988" spans="1:116" ht="12.75" hidden="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3"/>
      <c r="L988" s="4"/>
      <c r="M988" s="4"/>
      <c r="N988" s="4"/>
      <c r="O988" s="5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</row>
    <row r="989" spans="1:116" ht="12.75" hidden="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3"/>
      <c r="L989" s="4"/>
      <c r="M989" s="4"/>
      <c r="N989" s="4"/>
      <c r="O989" s="5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</row>
    <row r="990" spans="1:116" ht="12.75" hidden="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3"/>
      <c r="L990" s="4"/>
      <c r="M990" s="4"/>
      <c r="N990" s="4"/>
      <c r="O990" s="5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</row>
    <row r="991" spans="1:116" ht="12.75" hidden="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3"/>
      <c r="L991" s="4"/>
      <c r="M991" s="4"/>
      <c r="N991" s="4"/>
      <c r="O991" s="5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</row>
    <row r="992" spans="1:116" ht="12.75" hidden="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3"/>
      <c r="L992" s="4"/>
      <c r="M992" s="4"/>
      <c r="N992" s="4"/>
      <c r="O992" s="5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</row>
    <row r="993" spans="1:116" ht="12.75" hidden="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3"/>
      <c r="L993" s="4"/>
      <c r="M993" s="4"/>
      <c r="N993" s="4"/>
      <c r="O993" s="5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</row>
    <row r="994" spans="1:116" ht="12.75" hidden="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3"/>
      <c r="L994" s="4"/>
      <c r="M994" s="4"/>
      <c r="N994" s="4"/>
      <c r="O994" s="5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</row>
    <row r="995" spans="1:116" ht="12.75" hidden="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3"/>
      <c r="L995" s="4"/>
      <c r="M995" s="4"/>
      <c r="N995" s="4"/>
      <c r="O995" s="5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</row>
    <row r="996" spans="1:116" ht="12.75" hidden="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3"/>
      <c r="L996" s="4"/>
      <c r="M996" s="4"/>
      <c r="N996" s="4"/>
      <c r="O996" s="5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</row>
    <row r="997" spans="1:116" ht="12.75" hidden="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3"/>
      <c r="L997" s="4"/>
      <c r="M997" s="4"/>
      <c r="N997" s="4"/>
      <c r="O997" s="5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</row>
    <row r="998" spans="1:116" ht="12.75" hidden="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3"/>
      <c r="L998" s="4"/>
      <c r="M998" s="4"/>
      <c r="N998" s="4"/>
      <c r="O998" s="5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</row>
    <row r="999" spans="1:116" ht="12.75" hidden="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3"/>
      <c r="L999" s="4"/>
      <c r="M999" s="4"/>
      <c r="N999" s="4"/>
      <c r="O999" s="5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</row>
    <row r="1000" spans="1:116" ht="12.75" hidden="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3"/>
      <c r="L1000" s="4"/>
      <c r="M1000" s="4"/>
      <c r="N1000" s="4"/>
      <c r="O1000" s="5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</row>
  </sheetData>
  <mergeCells count="281">
    <mergeCell ref="AE195:AF195"/>
    <mergeCell ref="AG195:AH195"/>
    <mergeCell ref="AI195:AJ195"/>
    <mergeCell ref="AK195:BC195"/>
    <mergeCell ref="A191:H191"/>
    <mergeCell ref="A192:H192"/>
    <mergeCell ref="A193:H193"/>
    <mergeCell ref="C195:F195"/>
    <mergeCell ref="G195:W195"/>
    <mergeCell ref="Y195:AB195"/>
    <mergeCell ref="AC195:AD195"/>
    <mergeCell ref="AX192:BB192"/>
    <mergeCell ref="S193:W193"/>
    <mergeCell ref="X193:AA193"/>
    <mergeCell ref="AB193:AF193"/>
    <mergeCell ref="AG193:AJ193"/>
    <mergeCell ref="AK193:AN193"/>
    <mergeCell ref="AO193:AR193"/>
    <mergeCell ref="AS193:AW193"/>
    <mergeCell ref="AX193:BB193"/>
    <mergeCell ref="S192:W192"/>
    <mergeCell ref="X192:AA192"/>
    <mergeCell ref="AB192:AF192"/>
    <mergeCell ref="AG192:AJ192"/>
    <mergeCell ref="AK192:AN192"/>
    <mergeCell ref="B189:H189"/>
    <mergeCell ref="R189:S189"/>
    <mergeCell ref="A190:H190"/>
    <mergeCell ref="X190:AA190"/>
    <mergeCell ref="AB190:AF190"/>
    <mergeCell ref="AG190:AJ190"/>
    <mergeCell ref="AG191:AJ191"/>
    <mergeCell ref="AO192:AR192"/>
    <mergeCell ref="AS192:AW192"/>
    <mergeCell ref="S190:W190"/>
    <mergeCell ref="S191:W191"/>
    <mergeCell ref="A199:B199"/>
    <mergeCell ref="C199:F199"/>
    <mergeCell ref="P202:S202"/>
    <mergeCell ref="AK198:BC198"/>
    <mergeCell ref="AK199:BC199"/>
    <mergeCell ref="C196:F196"/>
    <mergeCell ref="C197:F197"/>
    <mergeCell ref="Y197:AB197"/>
    <mergeCell ref="AC197:AD197"/>
    <mergeCell ref="AE197:AF197"/>
    <mergeCell ref="AG197:AH197"/>
    <mergeCell ref="C198:F198"/>
    <mergeCell ref="AI197:AJ197"/>
    <mergeCell ref="AK197:BC197"/>
    <mergeCell ref="G196:W196"/>
    <mergeCell ref="Y196:AB196"/>
    <mergeCell ref="AC196:AD196"/>
    <mergeCell ref="AE196:AF196"/>
    <mergeCell ref="AG196:AH196"/>
    <mergeCell ref="AI196:AJ196"/>
    <mergeCell ref="AK196:BC196"/>
    <mergeCell ref="G197:W197"/>
    <mergeCell ref="G198:W199"/>
    <mergeCell ref="AK190:AN190"/>
    <mergeCell ref="AO190:AR190"/>
    <mergeCell ref="AS190:AW190"/>
    <mergeCell ref="AX190:BB190"/>
    <mergeCell ref="X191:AA191"/>
    <mergeCell ref="AB191:AF191"/>
    <mergeCell ref="AK191:AN191"/>
    <mergeCell ref="AO191:AR191"/>
    <mergeCell ref="AS191:AW191"/>
    <mergeCell ref="AX191:BB191"/>
    <mergeCell ref="X186:Y186"/>
    <mergeCell ref="Z186:AA186"/>
    <mergeCell ref="AB186:AC186"/>
    <mergeCell ref="AD186:AE186"/>
    <mergeCell ref="R182:S182"/>
    <mergeCell ref="R185:S185"/>
    <mergeCell ref="R181:S181"/>
    <mergeCell ref="R186:S186"/>
    <mergeCell ref="A187:H187"/>
    <mergeCell ref="R187:S187"/>
    <mergeCell ref="T187:V187"/>
    <mergeCell ref="X187:Y187"/>
    <mergeCell ref="Z187:AA187"/>
    <mergeCell ref="AB187:AC187"/>
    <mergeCell ref="AD187:AE187"/>
    <mergeCell ref="B184:H184"/>
    <mergeCell ref="A185:H185"/>
    <mergeCell ref="A186:H186"/>
    <mergeCell ref="R172:S172"/>
    <mergeCell ref="R173:S173"/>
    <mergeCell ref="R174:S174"/>
    <mergeCell ref="R175:S175"/>
    <mergeCell ref="R176:S176"/>
    <mergeCell ref="R188:S188"/>
    <mergeCell ref="R183:S183"/>
    <mergeCell ref="R184:S184"/>
    <mergeCell ref="T186:V186"/>
    <mergeCell ref="R177:S177"/>
    <mergeCell ref="R178:S178"/>
    <mergeCell ref="R179:S179"/>
    <mergeCell ref="R180:S180"/>
    <mergeCell ref="R163:S163"/>
    <mergeCell ref="R164:S164"/>
    <mergeCell ref="R165:S165"/>
    <mergeCell ref="R166:S166"/>
    <mergeCell ref="R167:S167"/>
    <mergeCell ref="R168:S168"/>
    <mergeCell ref="R169:S169"/>
    <mergeCell ref="R170:S170"/>
    <mergeCell ref="R171:S171"/>
    <mergeCell ref="R154:S154"/>
    <mergeCell ref="R155:S155"/>
    <mergeCell ref="R156:S156"/>
    <mergeCell ref="R157:S157"/>
    <mergeCell ref="R158:S158"/>
    <mergeCell ref="R159:S159"/>
    <mergeCell ref="R160:S160"/>
    <mergeCell ref="R161:S161"/>
    <mergeCell ref="R162:S162"/>
    <mergeCell ref="R145:S145"/>
    <mergeCell ref="R146:S146"/>
    <mergeCell ref="R147:S147"/>
    <mergeCell ref="R148:S148"/>
    <mergeCell ref="R149:S149"/>
    <mergeCell ref="R150:S150"/>
    <mergeCell ref="R151:S151"/>
    <mergeCell ref="R152:S152"/>
    <mergeCell ref="R153:S153"/>
    <mergeCell ref="R136:S136"/>
    <mergeCell ref="R137:S137"/>
    <mergeCell ref="R138:S138"/>
    <mergeCell ref="R139:S139"/>
    <mergeCell ref="R140:S140"/>
    <mergeCell ref="R141:S141"/>
    <mergeCell ref="R142:S142"/>
    <mergeCell ref="R143:S143"/>
    <mergeCell ref="R144:S144"/>
    <mergeCell ref="R127:S127"/>
    <mergeCell ref="R128:S128"/>
    <mergeCell ref="R129:S129"/>
    <mergeCell ref="R130:S130"/>
    <mergeCell ref="R131:S131"/>
    <mergeCell ref="R132:S132"/>
    <mergeCell ref="R133:S133"/>
    <mergeCell ref="R134:S134"/>
    <mergeCell ref="R135:S135"/>
    <mergeCell ref="R118:S118"/>
    <mergeCell ref="R119:S119"/>
    <mergeCell ref="R120:S120"/>
    <mergeCell ref="R121:S121"/>
    <mergeCell ref="R122:S122"/>
    <mergeCell ref="R123:S123"/>
    <mergeCell ref="R124:S124"/>
    <mergeCell ref="R125:S125"/>
    <mergeCell ref="R126:S126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R82:S82"/>
    <mergeCell ref="R83:S83"/>
    <mergeCell ref="R84:S84"/>
    <mergeCell ref="R85:S85"/>
    <mergeCell ref="R86:S86"/>
    <mergeCell ref="R87:S87"/>
    <mergeCell ref="R88:S88"/>
    <mergeCell ref="R89:S89"/>
    <mergeCell ref="R90:S90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A16:A17"/>
    <mergeCell ref="B16:H17"/>
    <mergeCell ref="I16:I17"/>
    <mergeCell ref="J16:J17"/>
    <mergeCell ref="K16:K17"/>
    <mergeCell ref="L16:L17"/>
    <mergeCell ref="AY16:BC16"/>
    <mergeCell ref="BB17:BC17"/>
    <mergeCell ref="U16:Y16"/>
    <mergeCell ref="Z16:AC16"/>
    <mergeCell ref="AD16:AG16"/>
    <mergeCell ref="AH16:AK16"/>
    <mergeCell ref="AL16:AO16"/>
    <mergeCell ref="AP16:AS16"/>
    <mergeCell ref="AT16:AX16"/>
    <mergeCell ref="O16:O17"/>
    <mergeCell ref="P16:T16"/>
    <mergeCell ref="R17:S17"/>
    <mergeCell ref="X15:AA15"/>
    <mergeCell ref="AB15:AF15"/>
    <mergeCell ref="AG15:AJ15"/>
    <mergeCell ref="AK15:AN15"/>
    <mergeCell ref="AO15:AR15"/>
    <mergeCell ref="AS15:AW15"/>
    <mergeCell ref="AX15:BB15"/>
    <mergeCell ref="M16:M17"/>
    <mergeCell ref="N16:N17"/>
    <mergeCell ref="T15:W15"/>
  </mergeCells>
  <pageMargins left="0.7" right="0.7" top="0.75" bottom="0.75" header="0" footer="0"/>
  <pageSetup orientation="landscape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B784BB-1C0C-4673-95EE-759D99B39DC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SCHED INternal DCI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costengr</dc:creator>
  <cp:lastModifiedBy>Julius Carlo Franco</cp:lastModifiedBy>
  <dcterms:created xsi:type="dcterms:W3CDTF">2010-11-10T22:19:21Z</dcterms:created>
  <dcterms:modified xsi:type="dcterms:W3CDTF">2026-04-10T08:27:43Z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{26B784BB-1C0C-4673-95EE-759D99B39DC1}</vt:lpwstr>
  </property>
</Properties>
</file>